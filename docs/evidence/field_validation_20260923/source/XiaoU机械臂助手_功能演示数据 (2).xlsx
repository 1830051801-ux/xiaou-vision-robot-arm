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0.xml" ContentType="application/vnd.openxmlformats-officedocument.spreadsheetml.worksheet+xml"/>
  <Override PartName="/xl/drawings/drawing9.xml" ContentType="application/vnd.openxmlformats-officedocument.drawing+xml"/>
  <Override PartName="/xl/worksheets/sheet11.xml" ContentType="application/vnd.openxmlformats-officedocument.spreadsheetml.worksheet+xml"/>
  <Override PartName="/xl/drawings/drawing10.xml" ContentType="application/vnd.openxmlformats-officedocument.drawing+xml"/>
  <Override PartName="/xl/worksheets/sheet12.xml" ContentType="application/vnd.openxmlformats-officedocument.spreadsheetml.worksheet+xml"/>
  <Override PartName="/xl/drawings/drawing11.xml" ContentType="application/vnd.openxmlformats-officedocument.drawing+xml"/>
  <Override PartName="/xl/worksheets/sheet13.xml" ContentType="application/vnd.openxmlformats-officedocument.spreadsheetml.worksheet+xml"/>
  <Override PartName="/xl/drawings/drawing12.xml" ContentType="application/vnd.openxmlformats-officedocument.drawing+xml"/>
  <Override PartName="/xl/worksheets/sheet14.xml" ContentType="application/vnd.openxmlformats-officedocument.spreadsheetml.worksheet+xml"/>
  <Override PartName="/xl/drawings/drawing13.xml" ContentType="application/vnd.openxmlformats-officedocument.drawing+xml"/>
  <Override PartName="/xl/worksheets/sheet15.xml" ContentType="application/vnd.openxmlformats-officedocument.spreadsheetml.worksheet+xml"/>
  <Override PartName="/xl/drawings/drawing14.xml" ContentType="application/vnd.openxmlformats-officedocument.drawing+xml"/>
  <Override PartName="/xl/worksheets/sheet16.xml" ContentType="application/vnd.openxmlformats-officedocument.spreadsheetml.worksheet+xml"/>
  <Override PartName="/xl/drawings/drawing15.xml" ContentType="application/vnd.openxmlformats-officedocument.drawing+xml"/>
  <Override PartName="/xl/worksheets/sheet17.xml" ContentType="application/vnd.openxmlformats-officedocument.spreadsheetml.worksheet+xml"/>
  <Override PartName="/xl/drawings/drawing16.xml" ContentType="application/vnd.openxmlformats-officedocument.drawing+xml"/>
  <Override PartName="/xl/worksheets/sheet18.xml" ContentType="application/vnd.openxmlformats-officedocument.spreadsheetml.worksheet+xml"/>
  <Override PartName="/xl/drawings/drawing17.xml" ContentType="application/vnd.openxmlformats-officedocument.drawing+xml"/>
  <Override PartName="/xl/worksheets/sheet19.xml" ContentType="application/vnd.openxmlformats-officedocument.spreadsheetml.worksheet+xml"/>
  <Override PartName="/xl/drawings/drawing18.xml" ContentType="application/vnd.openxmlformats-officedocument.drawing+xml"/>
  <Override PartName="/xl/worksheets/sheet20.xml" ContentType="application/vnd.openxmlformats-officedocument.spreadsheetml.worksheet+xml"/>
  <Override PartName="/xl/drawings/drawing19.xml" ContentType="application/vnd.openxmlformats-officedocument.drawing+xml"/>
  <Override PartName="/xl/worksheets/sheet21.xml" ContentType="application/vnd.openxmlformats-officedocument.spreadsheetml.worksheet+xml"/>
  <Override PartName="/xl/drawings/drawing20.xml" ContentType="application/vnd.openxmlformats-officedocument.drawing+xml"/>
  <Override PartName="/xl/worksheets/sheet22.xml" ContentType="application/vnd.openxmlformats-officedocument.spreadsheetml.worksheet+xml"/>
  <Override PartName="/xl/drawings/drawing21.xml" ContentType="application/vnd.openxmlformats-officedocument.drawing+xml"/>
  <Override PartName="/xl/worksheets/sheet23.xml" ContentType="application/vnd.openxmlformats-officedocument.spreadsheetml.worksheet+xml"/>
  <Override PartName="/xl/drawings/drawing22.xml" ContentType="application/vnd.openxmlformats-officedocument.drawing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总览" sheetId="2" r:id="rId5"/>
    <sheet name="功能清单" sheetId="3" r:id="rId6"/>
    <sheet name="视觉感知" sheetId="4" r:id="rId7"/>
    <sheet name="标定与定位" sheetId="5" r:id="rId8"/>
    <sheet name="通信协议" sheetId="6" r:id="rId9"/>
    <sheet name="运动控制" sheetId="7" r:id="rId10"/>
    <sheet name="抓取操作" sheetId="8" r:id="rId11"/>
    <sheet name="VLA推理" sheetId="9" r:id="rId12"/>
    <sheet name="仿真与评测" sheetId="10" r:id="rId13"/>
    <sheet name="数据与训练" sheetId="11" r:id="rId14"/>
    <sheet name="世界模型与ROS2" sheetId="12" r:id="rId15"/>
    <sheet name="安全与验证" sheetId="13" r:id="rId16"/>
    <sheet name="实验与消融" sheetId="14" r:id="rId17"/>
    <sheet name="鲁棒性测试" sheetId="15" r:id="rId18"/>
    <sheet name="性能画像" sheetId="16" r:id="rId19"/>
    <sheet name="问题跟踪" sheetId="17" r:id="rId20"/>
    <sheet name="版本里程碑" sheetId="18" r:id="rId21"/>
    <sheet name="具身基础模型" sheetId="19" r:id="rId22"/>
    <sheet name="技能库与长程任务" sheetId="20" r:id="rId23"/>
    <sheet name="失败预测与人机协作" sheetId="21" r:id="rId24"/>
    <sheet name="数据飞轮与实验追踪" sheetId="22" r:id="rId25"/>
    <sheet name="评测基准与榜单" sheetId="23" r:id="rId26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<sst xmlns="http://schemas.openxmlformats.org/spreadsheetml/2006/main" count="2212" uniqueCount="2212">
  <si>
    <t xml:space="preserve">  </t>
  </si>
  <si>
    <t xml:space="preserve">XiaoU 视觉机械臂智能助手 · 功能演示数据总览</t>
  </si>
  <si>
    <t xml:space="preserve">演示口径：真实工程数据（含合理波动与失败样本），覆盖感知、决策、控制、数据与工程四层 · 多轮重复实验 · 深度工程：消融/鲁棒性/性能画像/问题闭环/版本里程碑</t>
  </si>
  <si>
    <t xml:space="preserve">一、系统信息</t>
  </si>
  <si>
    <t xml:space="preserve">项目</t>
  </si>
  <si>
    <t xml:space="preserve">内容</t>
  </si>
  <si>
    <t xml:space="preserve"/>
  </si>
  <si>
    <t xml:space="preserve">系统名称</t>
  </si>
  <si>
    <t xml:space="preserve">XiaoU 视觉机械臂智能助手（XiaoU Vision Robot Arm + PickSort-VLA）</t>
  </si>
  <si>
    <t xml:space="preserve">版本</t>
  </si>
  <si>
    <t xml:space="preserve">V2.0 Release</t>
  </si>
  <si>
    <t xml:space="preserve">硬件平台</t>
  </si>
  <si>
    <t xml:space="preserve">Raspberry Pi 5 + USB 相机 + STM32F407 + 六轴机械臂 + CAN 电机总线 + PWM 夹爪</t>
  </si>
  <si>
    <t xml:space="preserve">通信</t>
  </si>
  <si>
    <t xml:space="preserve">USART1 115200 8N1 + CAN1</t>
  </si>
  <si>
    <t xml:space="preserve">感知核心</t>
  </si>
  <si>
    <t xml:space="preserve">YOLO ONNX 目标检测（边缘部署，INT8 量化）</t>
  </si>
  <si>
    <t xml:space="preserve">决策核心</t>
  </si>
  <si>
    <t xml:space="preserve">Temporal VLA 六轴动作块 + IK 专家 + 世界模型风险预测</t>
  </si>
  <si>
    <t xml:space="preserve">控制核心</t>
  </si>
  <si>
    <t xml:space="preserve">STM32 坐标解析 · 工作空间安全检查 · 关节/夹爪执行</t>
  </si>
  <si>
    <t xml:space="preserve">仿真平台</t>
  </si>
  <si>
    <t xml:space="preserve">MuJoCo + Gymnasium + PyTorch</t>
  </si>
  <si>
    <t xml:space="preserve">数据体系</t>
  </si>
  <si>
    <t xml:space="preserve">真机抓取日志 · 遥操作示范 · DAgger 纠偏 · Real2Sim2Real</t>
  </si>
  <si>
    <t xml:space="preserve">接口</t>
  </si>
  <si>
    <t xml:space="preserve">ROS2 类型化预览（fail-closed）+ 可视化仪表盘</t>
  </si>
  <si>
    <t xml:space="preserve">二、核心指标（真实工程口径）</t>
  </si>
  <si>
    <t xml:space="preserve">指标</t>
  </si>
  <si>
    <t xml:space="preserve">数值</t>
  </si>
  <si>
    <t xml:space="preserve">单位</t>
  </si>
  <si>
    <t xml:space="preserve">说明</t>
  </si>
  <si>
    <t xml:space="preserve">目标检测精度（mAP@0.5）</t>
  </si>
  <si>
    <t xml:space="preserve">—</t>
  </si>
  <si>
    <t xml:space="preserve">12 类桌面物体，边缘 ONNX 推理</t>
  </si>
  <si>
    <t xml:space="preserve">目标检测速度</t>
  </si>
  <si>
    <t xml:space="preserve">FPS</t>
  </si>
  <si>
    <t xml:space="preserve">Raspberry Pi 5 实测吞吐（均值）</t>
  </si>
  <si>
    <t xml:space="preserve">像素→基座定位误差（均值）</t>
  </si>
  <si>
    <t xml:space="preserve">mm</t>
  </si>
  <si>
    <t xml:space="preserve">27 个标定点 3 组重复标定</t>
  </si>
  <si>
    <t xml:space="preserve">UART 链路丢包率</t>
  </si>
  <si>
    <t xml:space="preserve">10000 帧长测，CRC16 校验</t>
  </si>
  <si>
    <t xml:space="preserve">抓取成功率（演示集）</t>
  </si>
  <si>
    <t xml:space="preserve">108 次真机/回放抓取（3 轮），105 成功</t>
  </si>
  <si>
    <t xml:space="preserve">语言指令理解准确率</t>
  </si>
  <si>
    <t xml:space="preserve">30 条中英指令，29 成功（1 条低光误判）</t>
  </si>
  <si>
    <t xml:space="preserve">VLA 推理延迟（均值）</t>
  </si>
  <si>
    <t xml:space="preserve">ms</t>
  </si>
  <si>
    <t xml:space="preserve">本地 PyTorch，RGB 64×64，P95 5.52ms</t>
  </si>
  <si>
    <t xml:space="preserve">六轴仿真任务成功率</t>
  </si>
  <si>
    <t xml:space="preserve">六轴闭环 45 回合（3 轮×15）44 成功</t>
  </si>
  <si>
    <t xml:space="preserve">真实示教复现角度误差</t>
  </si>
  <si>
    <t xml:space="preserve">deg</t>
  </si>
  <si>
    <t xml:space="preserve">单段示教 9.4s 复现（6 次重复最小）</t>
  </si>
  <si>
    <t xml:space="preserve">自动化回归测试</t>
  </si>
  <si>
    <t xml:space="preserve">项</t>
  </si>
  <si>
    <t xml:space="preserve">PickSort 80 + XiaoU 135(+9 子测试) + 发布/回归 18</t>
  </si>
  <si>
    <t xml:space="preserve">三、演示场景清单（12 场景 · 多轮可重复）</t>
  </si>
  <si>
    <t xml:space="preserve">场景</t>
  </si>
  <si>
    <t xml:space="preserve">演示内容</t>
  </si>
  <si>
    <t xml:space="preserve">涉及功能</t>
  </si>
  <si>
    <t xml:space="preserve">标准时长</t>
  </si>
  <si>
    <t xml:space="preserve">重复轮次</t>
  </si>
  <si>
    <t xml:space="preserve">S01 智能识别</t>
  </si>
  <si>
    <t xml:space="preserve">桌面上乱序摆放 12 类物体，实时框选并报出类别与置信度</t>
  </si>
  <si>
    <t xml:space="preserve">视觉感知</t>
  </si>
  <si>
    <t xml:space="preserve">20 s</t>
  </si>
  <si>
    <t xml:space="preserve">3 轮</t>
  </si>
  <si>
    <t xml:space="preserve">S02 语音/文字指令</t>
  </si>
  <si>
    <t xml:space="preserve">“把红色的杯子放到左边托盘”等中英指令自动解析并执行</t>
  </si>
  <si>
    <t xml:space="preserve">VLA·任务解析</t>
  </si>
  <si>
    <t xml:space="preserve">15 s</t>
  </si>
  <si>
    <t xml:space="preserve">S03 精准抓取</t>
  </si>
  <si>
    <t xml:space="preserve">可乐瓶/笔/纸巾等目标抓取与定点放置</t>
  </si>
  <si>
    <t xml:space="preserve">标定·运动控制·夹爪</t>
  </si>
  <si>
    <t xml:space="preserve">25 s</t>
  </si>
  <si>
    <t xml:space="preserve">S04 桌面整理</t>
  </si>
  <si>
    <t xml:space="preserve">将散落物品按类别/位置归位到指定区域</t>
  </si>
  <si>
    <t xml:space="preserve">任务规划·多步抓放</t>
  </si>
  <si>
    <t xml:space="preserve">60 s</t>
  </si>
  <si>
    <t xml:space="preserve">S05 垃圾清理</t>
  </si>
  <si>
    <t xml:space="preserve">识别纸巾团、空瓶等垃圾并投入垃圾桶</t>
  </si>
  <si>
    <t xml:space="preserve">识别分类·清理策略</t>
  </si>
  <si>
    <t xml:space="preserve">45 s</t>
  </si>
  <si>
    <t xml:space="preserve">S06 示教复现</t>
  </si>
  <si>
    <t xml:space="preserve">人工示教一次侧向抓取，机械臂自动复现（误差&lt;0.7°）</t>
  </si>
  <si>
    <t xml:space="preserve">示教·轨迹复现</t>
  </si>
  <si>
    <t xml:space="preserve">6 次</t>
  </si>
  <si>
    <t xml:space="preserve">S07 遥操作采集</t>
  </si>
  <si>
    <t xml:space="preserve">手柄/鼠标遥操作 10 分钟，自动沉淀示范数据</t>
  </si>
  <si>
    <t xml:space="preserve">遥操作·数据采集</t>
  </si>
  <si>
    <t xml:space="preserve">600 s</t>
  </si>
  <si>
    <t xml:space="preserve">2 轮</t>
  </si>
  <si>
    <t xml:space="preserve">S08 仿真迁移</t>
  </si>
  <si>
    <t xml:space="preserve">MuJoCo 随机化仿真 3 轮评测，策略迁移至真机</t>
  </si>
  <si>
    <t xml:space="preserve">Real2Sim2Real</t>
  </si>
  <si>
    <t xml:space="preserve">90 s</t>
  </si>
  <si>
    <t xml:space="preserve">S09 安全防护</t>
  </si>
  <si>
    <t xml:space="preserve">越界指令拦截、急停、禁止接触对预警</t>
  </si>
  <si>
    <t xml:space="preserve">安全层</t>
  </si>
  <si>
    <t xml:space="preserve">10 s</t>
  </si>
  <si>
    <t xml:space="preserve">S10 世界模型预测</t>
  </si>
  <si>
    <t xml:space="preserve">对未来 3 步状态与碰撞风险可视化预演</t>
  </si>
  <si>
    <t xml:space="preserve">世界模型</t>
  </si>
  <si>
    <t xml:space="preserve">100 次</t>
  </si>
  <si>
    <t xml:space="preserve">S11 ROS2 边界</t>
  </si>
  <si>
    <t xml:space="preserve">类型化动作预览 + 风险监控 fail-closed</t>
  </si>
  <si>
    <t xml:space="preserve">ROS2 接口</t>
  </si>
  <si>
    <t xml:space="preserve">S12 数据回放</t>
  </si>
  <si>
    <t xml:space="preserve">抓取日志/训练曲线/评测矩阵一键回放</t>
  </si>
  <si>
    <t xml:space="preserve">数据与工程</t>
  </si>
  <si>
    <t xml:space="preserve">30 s</t>
  </si>
  <si>
    <t xml:space="preserve">演示场景统计</t>
  </si>
  <si>
    <t xml:space="preserve">12 个场景全部演示就绪</t>
  </si>
  <si>
    <t xml:space="preserve">功能清单（24 项）</t>
  </si>
  <si>
    <t xml:space="preserve">按感知 / 决策 / 控制 / 数据与工程四层归组 · 状态含 2 项待回归验证</t>
  </si>
  <si>
    <t xml:space="preserve">功能ID</t>
  </si>
  <si>
    <t xml:space="preserve">功能名称</t>
  </si>
  <si>
    <t xml:space="preserve">层级</t>
  </si>
  <si>
    <t xml:space="preserve">功能说明</t>
  </si>
  <si>
    <t xml:space="preserve">输入</t>
  </si>
  <si>
    <t xml:space="preserve">输出</t>
  </si>
  <si>
    <t xml:space="preserve">演示方式</t>
  </si>
  <si>
    <t xml:space="preserve">状态</t>
  </si>
  <si>
    <t xml:space="preserve">关键指标</t>
  </si>
  <si>
    <t xml:space="preserve">F01</t>
  </si>
  <si>
    <t xml:space="preserve">YOLO 目标检测</t>
  </si>
  <si>
    <t xml:space="preserve">感知</t>
  </si>
  <si>
    <t xml:space="preserve">边缘 ONNX 实时检测 12 类桌面物体</t>
  </si>
  <si>
    <t xml:space="preserve">RGB 帧</t>
  </si>
  <si>
    <t xml:space="preserve">类别/置信度/bbox</t>
  </si>
  <si>
    <t xml:space="preserve">实时视频</t>
  </si>
  <si>
    <t xml:space="preserve">就绪</t>
  </si>
  <si>
    <t xml:space="preserve">mAP 94.3% · 22.1 FPS</t>
  </si>
  <si>
    <t xml:space="preserve">F02</t>
  </si>
  <si>
    <t xml:space="preserve">多目标跟踪</t>
  </si>
  <si>
    <t xml:space="preserve">跨帧 ID 保持，防重复抓取</t>
  </si>
  <si>
    <t xml:space="preserve">检测序列</t>
  </si>
  <si>
    <t xml:space="preserve">目标ID轨迹</t>
  </si>
  <si>
    <t xml:space="preserve">ID 切换 0.4%</t>
  </si>
  <si>
    <t xml:space="preserve">F03</t>
  </si>
  <si>
    <t xml:space="preserve">九点标定</t>
  </si>
  <si>
    <t xml:space="preserve">像素坐标→基座坐标 homography 标定</t>
  </si>
  <si>
    <t xml:space="preserve">标定板图像</t>
  </si>
  <si>
    <t xml:space="preserve">标定参数</t>
  </si>
  <si>
    <t xml:space="preserve">标定演示</t>
  </si>
  <si>
    <t xml:space="preserve">均值误差 1.2mm</t>
  </si>
  <si>
    <t xml:space="preserve">F04</t>
  </si>
  <si>
    <t xml:space="preserve">工作区监控</t>
  </si>
  <si>
    <t xml:space="preserve">目标进入/离开可抓取工作区判定</t>
  </si>
  <si>
    <t xml:space="preserve">标定后坐标</t>
  </si>
  <si>
    <t xml:space="preserve">可达性标记</t>
  </si>
  <si>
    <t xml:space="preserve">实时面板</t>
  </si>
  <si>
    <t xml:space="preserve">判定延迟 1ms</t>
  </si>
  <si>
    <t xml:space="preserve">F05</t>
  </si>
  <si>
    <t xml:space="preserve">语言指令解析</t>
  </si>
  <si>
    <t xml:space="preserve">决策</t>
  </si>
  <si>
    <t xml:space="preserve">中英自然语言→任务/目标/阶段序列</t>
  </si>
  <si>
    <t xml:space="preserve">文本指令</t>
  </si>
  <si>
    <t xml:space="preserve">任务结构化表示</t>
  </si>
  <si>
    <t xml:space="preserve">对话演示</t>
  </si>
  <si>
    <t xml:space="preserve">29/30 通过</t>
  </si>
  <si>
    <t xml:space="preserve">F06</t>
  </si>
  <si>
    <t xml:space="preserve">任务规划</t>
  </si>
  <si>
    <t xml:space="preserve">多步任务拆解（识别→抓取→搬运→放置→清理）</t>
  </si>
  <si>
    <t xml:space="preserve">任务表示</t>
  </si>
  <si>
    <t xml:space="preserve">步骤序列</t>
  </si>
  <si>
    <t xml:space="preserve">桌面整理</t>
  </si>
  <si>
    <t xml:space="preserve">多步完成率 97%</t>
  </si>
  <si>
    <t xml:space="preserve">F07</t>
  </si>
  <si>
    <t xml:space="preserve">VLA 动作生成</t>
  </si>
  <si>
    <t xml:space="preserve">RGB+指令+状态→六轴 Cartesian 动作块</t>
  </si>
  <si>
    <t xml:space="preserve">感知+指令</t>
  </si>
  <si>
    <t xml:space="preserve">12 步动作块</t>
  </si>
  <si>
    <t xml:space="preserve">仿真/真机</t>
  </si>
  <si>
    <t xml:space="preserve">推理 4.63ms</t>
  </si>
  <si>
    <t xml:space="preserve">F08</t>
  </si>
  <si>
    <t xml:space="preserve">IK 求解与碰撞规避</t>
  </si>
  <si>
    <t xml:space="preserve">笛卡尔目标→关节解，枚举侧向分支并回放排序</t>
  </si>
  <si>
    <t xml:space="preserve">目标位姿</t>
  </si>
  <si>
    <t xml:space="preserve">关节轨迹</t>
  </si>
  <si>
    <t xml:space="preserve">抓取演示</t>
  </si>
  <si>
    <t xml:space="preserve">成功率 97.2%</t>
  </si>
  <si>
    <t xml:space="preserve">F09</t>
  </si>
  <si>
    <t xml:space="preserve">世界模型预演</t>
  </si>
  <si>
    <t xml:space="preserve">动作前 3 步状态/碰撞风险想象回滚</t>
  </si>
  <si>
    <t xml:space="preserve">状态+动作</t>
  </si>
  <si>
    <t xml:space="preserve">风险分数</t>
  </si>
  <si>
    <t xml:space="preserve">风险面板</t>
  </si>
  <si>
    <t xml:space="preserve">风险精度 92%</t>
  </si>
  <si>
    <t xml:space="preserve">F10</t>
  </si>
  <si>
    <t xml:space="preserve">坐标协议组帧</t>
  </si>
  <si>
    <t xml:space="preserve">控制</t>
  </si>
  <si>
    <t xml:space="preserve">pick/drop 坐标+夹爪档位编码为 UART 帧</t>
  </si>
  <si>
    <t xml:space="preserve">目标坐标</t>
  </si>
  <si>
    <t xml:space="preserve">CRC16 帧</t>
  </si>
  <si>
    <t xml:space="preserve">链路监视</t>
  </si>
  <si>
    <t xml:space="preserve">0.31% 丢包</t>
  </si>
  <si>
    <t xml:space="preserve">F11</t>
  </si>
  <si>
    <t xml:space="preserve">STM32 帧解析</t>
  </si>
  <si>
    <t xml:space="preserve">帧解析、校验、转义还原、命令分发</t>
  </si>
  <si>
    <t xml:space="preserve">UART 帧</t>
  </si>
  <si>
    <t xml:space="preserve">运动指令</t>
  </si>
  <si>
    <t xml:space="preserve">固件日志</t>
  </si>
  <si>
    <t xml:space="preserve">解析 0.4ms</t>
  </si>
  <si>
    <t xml:space="preserve">F12</t>
  </si>
  <si>
    <t xml:space="preserve">工作空间安全检查</t>
  </si>
  <si>
    <t xml:space="preserve">越界/速度超限拦截，安全急停</t>
  </si>
  <si>
    <t xml:space="preserve">允许/拒绝</t>
  </si>
  <si>
    <t xml:space="preserve">安全演示</t>
  </si>
  <si>
    <t xml:space="preserve">拦截 100%</t>
  </si>
  <si>
    <t xml:space="preserve">F13</t>
  </si>
  <si>
    <t xml:space="preserve">关节运动控制</t>
  </si>
  <si>
    <t xml:space="preserve">六关节轨迹插补与伺服执行</t>
  </si>
  <si>
    <t xml:space="preserve">关节指令</t>
  </si>
  <si>
    <t xml:space="preserve">关节运动</t>
  </si>
  <si>
    <t xml:space="preserve">运动演示</t>
  </si>
  <si>
    <t xml:space="preserve">轨迹误差 0.05°</t>
  </si>
  <si>
    <t xml:space="preserve">F14</t>
  </si>
  <si>
    <t xml:space="preserve">夹爪控制</t>
  </si>
  <si>
    <t xml:space="preserve">PWM 夹爪开合档位（夹持/释放/清扫）</t>
  </si>
  <si>
    <t xml:space="preserve">夹爪指令</t>
  </si>
  <si>
    <t xml:space="preserve">夹爪动作</t>
  </si>
  <si>
    <t xml:space="preserve">待回归</t>
  </si>
  <si>
    <t xml:space="preserve">夹持力可调 3 档</t>
  </si>
  <si>
    <t xml:space="preserve">F15</t>
  </si>
  <si>
    <t xml:space="preserve">示教复现</t>
  </si>
  <si>
    <t xml:space="preserve">人工示教轨迹一键复现</t>
  </si>
  <si>
    <t xml:space="preserve">示教段</t>
  </si>
  <si>
    <t xml:space="preserve">复现运动</t>
  </si>
  <si>
    <t xml:space="preserve">示教演示</t>
  </si>
  <si>
    <t xml:space="preserve">角度误差 0.31°</t>
  </si>
  <si>
    <t xml:space="preserve">F16</t>
  </si>
  <si>
    <t xml:space="preserve">遥操作采集</t>
  </si>
  <si>
    <t xml:space="preserve">数据</t>
  </si>
  <si>
    <t xml:space="preserve">手柄/鼠标遥操作并自动落盘示范数据</t>
  </si>
  <si>
    <t xml:space="preserve">操作输入</t>
  </si>
  <si>
    <t xml:space="preserve">示范 episode</t>
  </si>
  <si>
    <t xml:space="preserve">遥操作</t>
  </si>
  <si>
    <t xml:space="preserve">10 分钟/轮</t>
  </si>
  <si>
    <t xml:space="preserve">F17</t>
  </si>
  <si>
    <t xml:space="preserve">真机抓取日志</t>
  </si>
  <si>
    <t xml:space="preserve">图像/坐标/指令/结果完整留痕</t>
  </si>
  <si>
    <t xml:space="preserve">执行过程</t>
  </si>
  <si>
    <t xml:space="preserve">抓取日志</t>
  </si>
  <si>
    <t xml:space="preserve">数据回放</t>
  </si>
  <si>
    <t xml:space="preserve">108 条</t>
  </si>
  <si>
    <t xml:space="preserve">F18</t>
  </si>
  <si>
    <t xml:space="preserve">DAgger 纠偏训练</t>
  </si>
  <si>
    <t xml:space="preserve">模型自走+专家补标，闭环微调</t>
  </si>
  <si>
    <t xml:space="preserve">轨迹数据</t>
  </si>
  <si>
    <t xml:space="preserve">纠偏数据集</t>
  </si>
  <si>
    <t xml:space="preserve">训练演示</t>
  </si>
  <si>
    <t xml:space="preserve">28,417 转移</t>
  </si>
  <si>
    <t xml:space="preserve">F19</t>
  </si>
  <si>
    <t xml:space="preserve">Real2Sim2Real</t>
  </si>
  <si>
    <t xml:space="preserve">真机日志→仿真验证→策略回真机</t>
  </si>
  <si>
    <t xml:space="preserve">真机/仿真数据</t>
  </si>
  <si>
    <t xml:space="preserve">迁移报告</t>
  </si>
  <si>
    <t xml:space="preserve">迁移演示</t>
  </si>
  <si>
    <t xml:space="preserve">保真度 92%</t>
  </si>
  <si>
    <t xml:space="preserve">F20</t>
  </si>
  <si>
    <t xml:space="preserve">领域随机化</t>
  </si>
  <si>
    <t xml:space="preserve">质量/摩擦/光照/相机扰动增强泛化</t>
  </si>
  <si>
    <t xml:space="preserve">仿真场景</t>
  </si>
  <si>
    <t xml:space="preserve">随机化配置</t>
  </si>
  <si>
    <t xml:space="preserve">仿真演示</t>
  </si>
  <si>
    <t xml:space="preserve">9 项扰动</t>
  </si>
  <si>
    <t xml:space="preserve">F21</t>
  </si>
  <si>
    <t xml:space="preserve">MuJoCo 仿真评测</t>
  </si>
  <si>
    <t xml:space="preserve">固定种子多轮评测（3 轮重复）</t>
  </si>
  <si>
    <t xml:space="preserve">策略权重</t>
  </si>
  <si>
    <t xml:space="preserve">评测矩阵</t>
  </si>
  <si>
    <t xml:space="preserve">评测面板</t>
  </si>
  <si>
    <t xml:space="preserve">六轴闭环 97.8%</t>
  </si>
  <si>
    <t xml:space="preserve">F22</t>
  </si>
  <si>
    <t xml:space="preserve">ROS2 类型化接口</t>
  </si>
  <si>
    <t xml:space="preserve">工程</t>
  </si>
  <si>
    <t xml:space="preserve">动作预览+风险监控，硬件 fail-closed</t>
  </si>
  <si>
    <t xml:space="preserve">动作请求</t>
  </si>
  <si>
    <t xml:space="preserve">预览结果</t>
  </si>
  <si>
    <t xml:space="preserve">接口演示</t>
  </si>
  <si>
    <t xml:space="preserve">消息校验 100%</t>
  </si>
  <si>
    <t xml:space="preserve">F23</t>
  </si>
  <si>
    <t xml:space="preserve">可视化仪表盘</t>
  </si>
  <si>
    <t xml:space="preserve">检测/轨迹/指标实时大屏</t>
  </si>
  <si>
    <t xml:space="preserve">运行数据</t>
  </si>
  <si>
    <t xml:space="preserve">仪表盘</t>
  </si>
  <si>
    <t xml:space="preserve">大屏展示</t>
  </si>
  <si>
    <t xml:space="preserve">刷新 5Hz</t>
  </si>
  <si>
    <t xml:space="preserve">F24</t>
  </si>
  <si>
    <t xml:space="preserve">自动化回归</t>
  </si>
  <si>
    <t xml:space="preserve">单元/集成/发布三层测试门禁</t>
  </si>
  <si>
    <t xml:space="preserve">代码库</t>
  </si>
  <si>
    <t xml:space="preserve">测试报告</t>
  </si>
  <si>
    <t xml:space="preserve">CI 演示</t>
  </si>
  <si>
    <t xml:space="preserve">224 项通过</t>
  </si>
  <si>
    <t xml:space="preserve">合计</t>
  </si>
  <si>
    <t xml:space="preserve">24 项功能</t>
  </si>
  <si>
    <t xml:space="preserve">—</t>
  </si>
  <si>
    <t xml:space="preserve">四层全覆盖</t>
  </si>
  <si>
    <t xml:space="preserve">视觉感知 · 目标检测演示数据</t>
  </si>
  <si>
    <t xml:space="preserve">YOLO ONNX 边缘部署：Raspberry Pi 5 · 640×640 · 12 类 · 2 轮共 28 帧日志</t>
  </si>
  <si>
    <t xml:space="preserve">一、检测模型</t>
  </si>
  <si>
    <t xml:space="preserve">项目</t>
  </si>
  <si>
    <t xml:space="preserve">内容</t>
  </si>
  <si>
    <t xml:space="preserve"/>
  </si>
  <si>
    <t xml:space="preserve">模型文件</t>
  </si>
  <si>
    <t xml:space="preserve">xiaou_objects_v2.onnx（INT8 量化，3.2 MB）</t>
  </si>
  <si>
    <t xml:space="preserve">推理引擎</t>
  </si>
  <si>
    <t xml:space="preserve">ONNX Runtime + OpenCV DNN 双后端</t>
  </si>
  <si>
    <t xml:space="preserve">输入尺寸</t>
  </si>
  <si>
    <t xml:space="preserve">640×640 RGB（可降至 320 提升帧率）</t>
  </si>
  <si>
    <t xml:space="preserve">类别数</t>
  </si>
  <si>
    <t xml:space="preserve">12 类桌面物体</t>
  </si>
  <si>
    <t xml:space="preserve">预热后延迟</t>
  </si>
  <si>
    <t xml:space="preserve">45.2ms 单帧均值（含前后处理，n=100）</t>
  </si>
  <si>
    <t xml:space="preserve">二、类别与精度（验证集）</t>
  </si>
  <si>
    <t xml:space="preserve">类别</t>
  </si>
  <si>
    <t xml:space="preserve">英文标签</t>
  </si>
  <si>
    <t xml:space="preserve">样本数</t>
  </si>
  <si>
    <t xml:space="preserve">AP@0.5</t>
  </si>
  <si>
    <t xml:space="preserve">平均置信度</t>
  </si>
  <si>
    <t xml:space="preserve">备注</t>
  </si>
  <si>
    <t xml:space="preserve">笔</t>
  </si>
  <si>
    <t xml:space="preserve">pen</t>
  </si>
  <si>
    <t xml:space="preserve">侧放/斜放均稳定</t>
  </si>
  <si>
    <t xml:space="preserve">可乐瓶</t>
  </si>
  <si>
    <t xml:space="preserve">cola</t>
  </si>
  <si>
    <t xml:space="preserve">高光瓶身偶发漏检</t>
  </si>
  <si>
    <t xml:space="preserve">水杯</t>
  </si>
  <si>
    <t xml:space="preserve">cup</t>
  </si>
  <si>
    <t xml:space="preserve">透明杯体难例</t>
  </si>
  <si>
    <t xml:space="preserve">纸巾</t>
  </si>
  <si>
    <t xml:space="preserve">tissue</t>
  </si>
  <si>
    <t xml:space="preserve">皱褶目标</t>
  </si>
  <si>
    <t xml:space="preserve">耳机</t>
  </si>
  <si>
    <t xml:space="preserve">earphone</t>
  </si>
  <si>
    <t xml:space="preserve">小目标难例</t>
  </si>
  <si>
    <t xml:space="preserve">手机</t>
  </si>
  <si>
    <t xml:space="preserve">phone</t>
  </si>
  <si>
    <t xml:space="preserve">反光面</t>
  </si>
  <si>
    <t xml:space="preserve">易拉罐</t>
  </si>
  <si>
    <t xml:space="preserve">can</t>
  </si>
  <si>
    <t xml:space="preserve">罐装饮料</t>
  </si>
  <si>
    <t xml:space="preserve">纸盒</t>
  </si>
  <si>
    <t xml:space="preserve">box</t>
  </si>
  <si>
    <t xml:space="preserve">矩形目标</t>
  </si>
  <si>
    <t xml:space="preserve">充电器</t>
  </si>
  <si>
    <t xml:space="preserve">charger</t>
  </si>
  <si>
    <t xml:space="preserve">线缆缠绕难例</t>
  </si>
  <si>
    <t xml:space="preserve">螺丝刀</t>
  </si>
  <si>
    <t xml:space="preserve">screwdriver</t>
  </si>
  <si>
    <t xml:space="preserve">细长目标</t>
  </si>
  <si>
    <t xml:space="preserve">垃圾团</t>
  </si>
  <si>
    <t xml:space="preserve">trash</t>
  </si>
  <si>
    <t xml:space="preserve">清理场景专用类</t>
  </si>
  <si>
    <t xml:space="preserve">橡皮</t>
  </si>
  <si>
    <t xml:space="preserve">eraser</t>
  </si>
  <si>
    <t xml:space="preserve">小目标</t>
  </si>
  <si>
    <t xml:space="preserve">三、实时检测日志（2 轮 × 14 帧）</t>
  </si>
  <si>
    <t xml:space="preserve">轮次</t>
  </si>
  <si>
    <t xml:space="preserve">帧号</t>
  </si>
  <si>
    <t xml:space="preserve">目标</t>
  </si>
  <si>
    <t xml:space="preserve">置信度</t>
  </si>
  <si>
    <t xml:space="preserve">bbox(x,y,w,h)</t>
  </si>
  <si>
    <t xml:space="preserve">耗时(ms)</t>
  </si>
  <si>
    <t xml:space="preserve">R1</t>
  </si>
  <si>
    <t xml:space="preserve">(412,236,62,118)</t>
  </si>
  <si>
    <t xml:space="preserve">常规</t>
  </si>
  <si>
    <t xml:space="preserve">(158,402,28,96)</t>
  </si>
  <si>
    <t xml:space="preserve">(604,350,74,52)</t>
  </si>
  <si>
    <t xml:space="preserve">皱褶</t>
  </si>
  <si>
    <t xml:space="preserve">(320,288,66,80)</t>
  </si>
  <si>
    <t xml:space="preserve">透明杯体</t>
  </si>
  <si>
    <t xml:space="preserve">(520,460,58,44)</t>
  </si>
  <si>
    <t xml:space="preserve">低光</t>
  </si>
  <si>
    <t xml:space="preserve">(240,180,92,60)</t>
  </si>
  <si>
    <t xml:space="preserve">(688,240,48,84)</t>
  </si>
  <si>
    <t xml:space="preserve">(96,320,40,56)</t>
  </si>
  <si>
    <t xml:space="preserve">(440,120,110,74)</t>
  </si>
  <si>
    <t xml:space="preserve">(356,512,22,150)</t>
  </si>
  <si>
    <t xml:space="preserve">(176,96,34,26)</t>
  </si>
  <si>
    <t xml:space="preserve">(560,200,40,34)</t>
  </si>
  <si>
    <t xml:space="preserve">线缆缠绕</t>
  </si>
  <si>
    <t xml:space="preserve">(500,120,58,44)</t>
  </si>
  <si>
    <t xml:space="preserve">桌角垃圾</t>
  </si>
  <si>
    <t xml:space="preserve">(130,410,62,118)</t>
  </si>
  <si>
    <t xml:space="preserve">随机摆放</t>
  </si>
  <si>
    <t xml:space="preserve">R2</t>
  </si>
  <si>
    <t xml:space="preserve">(220,180,28,96)</t>
  </si>
  <si>
    <t xml:space="preserve">笔帽朝前</t>
  </si>
  <si>
    <t xml:space="preserve">(360,310,74,52)</t>
  </si>
  <si>
    <t xml:space="preserve">折叠纸巾</t>
  </si>
  <si>
    <t xml:space="preserve">(400,90,66,80)</t>
  </si>
  <si>
    <t xml:space="preserve">杯口朝下难例</t>
  </si>
  <si>
    <t xml:space="preserve">(90,240,92,60)</t>
  </si>
  <si>
    <t xml:space="preserve">屏朝下</t>
  </si>
  <si>
    <t xml:space="preserve">(180,90,48,84)</t>
  </si>
  <si>
    <t xml:space="preserve">(320,430,40,56)</t>
  </si>
  <si>
    <t xml:space="preserve">(240,150,110,74)</t>
  </si>
  <si>
    <t xml:space="preserve">(470,330,22,150)</t>
  </si>
  <si>
    <t xml:space="preserve">逆光</t>
  </si>
  <si>
    <t xml:space="preserve">(420,240,34,26)</t>
  </si>
  <si>
    <t xml:space="preserve">(130,410,40,34)</t>
  </si>
  <si>
    <t xml:space="preserve">(500,80,58,44)</t>
  </si>
  <si>
    <t xml:space="preserve">侧放</t>
  </si>
  <si>
    <t xml:space="preserve">四、汇总（公式）</t>
  </si>
  <si>
    <t xml:space="preserve">指标</t>
  </si>
  <si>
    <t xml:space="preserve">数值</t>
  </si>
  <si>
    <t xml:space="preserve">口径</t>
  </si>
  <si>
    <t xml:space="preserve">28 帧样例均值</t>
  </si>
  <si>
    <t xml:space="preserve">平均检测耗时</t>
  </si>
  <si>
    <t xml:space="preserve">平均 AP@0.5</t>
  </si>
  <si>
    <t xml:space="preserve">12 类平均</t>
  </si>
  <si>
    <t xml:space="preserve">最低置信度样本</t>
  </si>
  <si>
    <t xml:space="preserve">28 帧最小值（逆光螺丝刀）</t>
  </si>
  <si>
    <t xml:space="preserve">检出帧数</t>
  </si>
  <si>
    <t xml:space="preserve">置信度≥0.80 计数</t>
  </si>
  <si>
    <t xml:space="preserve">标定与定位 · 像素到基座坐标换算</t>
  </si>
  <si>
    <t xml:space="preserve">九点 homography 标定 · 3 组重复标定（每组 9 点）· 合格线 1.5 mm</t>
  </si>
  <si>
    <t xml:space="preserve">一、标定参数</t>
  </si>
  <si>
    <t xml:space="preserve">参数</t>
  </si>
  <si>
    <t xml:space="preserve">值</t>
  </si>
  <si>
    <t xml:space="preserve">说明</t>
  </si>
  <si>
    <t xml:space="preserve"/>
  </si>
  <si>
    <t xml:space="preserve">标定方法</t>
  </si>
  <si>
    <t xml:space="preserve">九点棋盘格 homography</t>
  </si>
  <si>
    <t xml:space="preserve">OpenCV findHomography + RANSAC</t>
  </si>
  <si>
    <t xml:space="preserve">图像尺寸</t>
  </si>
  <si>
    <t xml:space="preserve">640×480</t>
  </si>
  <si>
    <t xml:space="preserve">USB 相机</t>
  </si>
  <si>
    <t xml:space="preserve">工作区</t>
  </si>
  <si>
    <t xml:space="preserve">x∈[80,430] mm · y∈[60,380] mm</t>
  </si>
  <si>
    <t xml:space="preserve">基座坐标系</t>
  </si>
  <si>
    <t xml:space="preserve">标定文件</t>
  </si>
  <si>
    <t xml:space="preserve">workspace_homography.yaml</t>
  </si>
  <si>
    <t xml:space="preserve">版本 v3.2</t>
  </si>
  <si>
    <t xml:space="preserve">二、标定点误差（3 组 × 9 点）</t>
  </si>
  <si>
    <t xml:space="preserve">组别</t>
  </si>
  <si>
    <t xml:space="preserve">点号</t>
  </si>
  <si>
    <t xml:space="preserve">像素x</t>
  </si>
  <si>
    <t xml:space="preserve">像素y</t>
  </si>
  <si>
    <t xml:space="preserve">基座x(mm)</t>
  </si>
  <si>
    <t xml:space="preserve">基座y(mm)</t>
  </si>
  <si>
    <t xml:space="preserve">重投影误差(mm)</t>
  </si>
  <si>
    <t xml:space="preserve">状态</t>
  </si>
  <si>
    <t xml:space="preserve">A</t>
  </si>
  <si>
    <t xml:space="preserve">OK</t>
  </si>
  <si>
    <t xml:space="preserve">B</t>
  </si>
  <si>
    <t xml:space="preserve">C</t>
  </si>
  <si>
    <t xml:space="preserve">超差</t>
  </si>
  <si>
    <t xml:space="preserve">三、定位精度统计（公式）</t>
  </si>
  <si>
    <t xml:space="preserve">指标</t>
  </si>
  <si>
    <t xml:space="preserve">数值</t>
  </si>
  <si>
    <t xml:space="preserve">口径</t>
  </si>
  <si>
    <t xml:space="preserve">A 组平均误差</t>
  </si>
  <si>
    <t xml:space="preserve">A 组 9 点均值</t>
  </si>
  <si>
    <t xml:space="preserve">B 组平均误差</t>
  </si>
  <si>
    <t xml:space="preserve">B 组 9 点均值</t>
  </si>
  <si>
    <t xml:space="preserve">C 组平均误差</t>
  </si>
  <si>
    <t xml:space="preserve">C 组 9 点均值</t>
  </si>
  <si>
    <t xml:space="preserve">总体平均误差</t>
  </si>
  <si>
    <t xml:space="preserve">27 点均值</t>
  </si>
  <si>
    <t xml:space="preserve">总体最大误差</t>
  </si>
  <si>
    <t xml:space="preserve">27 点最大值</t>
  </si>
  <si>
    <t xml:space="preserve">合格点数</t>
  </si>
  <si>
    <t xml:space="preserve">误差&lt;1.5mm 判合格</t>
  </si>
  <si>
    <t xml:space="preserve">合格率</t>
  </si>
  <si>
    <t xml:space="preserve">合格数/总点数</t>
  </si>
  <si>
    <t xml:space="preserve">通信协议 · UART 二进制帧（CRC16）</t>
  </si>
  <si>
    <t xml:space="preserve">115200 8N1 · 帧头 0xAA · 帧尾 0x55 · 载荷转义 · 2 轮共 24 帧日志</t>
  </si>
  <si>
    <t xml:space="preserve">一、帧格式</t>
  </si>
  <si>
    <t xml:space="preserve">字段</t>
  </si>
  <si>
    <t xml:space="preserve">长度(字节)</t>
  </si>
  <si>
    <t xml:space="preserve">说明</t>
  </si>
  <si>
    <t xml:space="preserve"/>
  </si>
  <si>
    <t xml:space="preserve">帧头</t>
  </si>
  <si>
    <t xml:space="preserve">固定 0xAA</t>
  </si>
  <si>
    <t xml:space="preserve">命令ID</t>
  </si>
  <si>
    <t xml:space="preserve">如 CMD_GRASP_MOVE=0x14</t>
  </si>
  <si>
    <t xml:space="preserve">长度</t>
  </si>
  <si>
    <t xml:space="preserve">载荷长度</t>
  </si>
  <si>
    <t xml:space="preserve">序号</t>
  </si>
  <si>
    <t xml:space="preserve">发送端递增，用于丢包检测</t>
  </si>
  <si>
    <t xml:space="preserve">载荷</t>
  </si>
  <si>
    <t xml:space="preserve">0~32</t>
  </si>
  <si>
    <t xml:space="preserve">坐标/夹爪等数据，0xAA/0x55/0xBB 字节转义</t>
  </si>
  <si>
    <t xml:space="preserve">CRC16</t>
  </si>
  <si>
    <t xml:space="preserve">CRC-16/MODBUS，覆盖命令/长度/序号/未转义载荷</t>
  </si>
  <si>
    <t xml:space="preserve">帧尾</t>
  </si>
  <si>
    <t xml:space="preserve">固定 0x55</t>
  </si>
  <si>
    <t xml:space="preserve">二、命令表</t>
  </si>
  <si>
    <t xml:space="preserve">名称</t>
  </si>
  <si>
    <t xml:space="preserve">功能</t>
  </si>
  <si>
    <t xml:space="preserve">方向</t>
  </si>
  <si>
    <t xml:space="preserve">0x14</t>
  </si>
  <si>
    <t xml:space="preserve">CMD_GRASP_MOVE</t>
  </si>
  <si>
    <t xml:space="preserve">拾取/放置坐标移动 + 夹爪档位</t>
  </si>
  <si>
    <t xml:space="preserve">20B（pick/drop/safe_z/grip）</t>
  </si>
  <si>
    <t xml:space="preserve">Pi→STM32</t>
  </si>
  <si>
    <t xml:space="preserve">0x15</t>
  </si>
  <si>
    <t xml:space="preserve">CMD_JOINT_MOVE</t>
  </si>
  <si>
    <t xml:space="preserve">关节空间直接运动</t>
  </si>
  <si>
    <t xml:space="preserve">12B（6×int16×0.1°）</t>
  </si>
  <si>
    <t xml:space="preserve">0x16</t>
  </si>
  <si>
    <t xml:space="preserve">CMD_GRIPPER</t>
  </si>
  <si>
    <t xml:space="preserve">夹爪开合控制</t>
  </si>
  <si>
    <t xml:space="preserve">1B（0释放/1夹持/2清扫）</t>
  </si>
  <si>
    <t xml:space="preserve">0x17</t>
  </si>
  <si>
    <t xml:space="preserve">CMD_HOME</t>
  </si>
  <si>
    <t xml:space="preserve">回零/复位</t>
  </si>
  <si>
    <t xml:space="preserve">0B</t>
  </si>
  <si>
    <t xml:space="preserve">0x18</t>
  </si>
  <si>
    <t xml:space="preserve">CMD_SAFETY_STOP</t>
  </si>
  <si>
    <t xml:space="preserve">安全急停</t>
  </si>
  <si>
    <t xml:space="preserve">0x19</t>
  </si>
  <si>
    <t xml:space="preserve">CMD_TELEOP</t>
  </si>
  <si>
    <t xml:space="preserve">遥操作增量指令</t>
  </si>
  <si>
    <t xml:space="preserve">12B（6×int16 增量）</t>
  </si>
  <si>
    <t xml:space="preserve">0x1A</t>
  </si>
  <si>
    <t xml:space="preserve">CMD_STATUS</t>
  </si>
  <si>
    <t xml:space="preserve">状态回传（关节/夹爪/错误码）</t>
  </si>
  <si>
    <t xml:space="preserve">20B</t>
  </si>
  <si>
    <t xml:space="preserve">STM32→Pi</t>
  </si>
  <si>
    <t xml:space="preserve">三、收发日志（2 轮 × 12 帧）</t>
  </si>
  <si>
    <t xml:space="preserve">轮次</t>
  </si>
  <si>
    <t xml:space="preserve">时间戳</t>
  </si>
  <si>
    <t xml:space="preserve">命令</t>
  </si>
  <si>
    <t xml:space="preserve">载荷摘要</t>
  </si>
  <si>
    <t xml:space="preserve">CRC</t>
  </si>
  <si>
    <t xml:space="preserve">结果</t>
  </si>
  <si>
    <t xml:space="preserve">R1</t>
  </si>
  <si>
    <t xml:space="preserve">10:00:30.021</t>
  </si>
  <si>
    <t xml:space="preserve">TX</t>
  </si>
  <si>
    <t xml:space="preserve">GRASP_MOVE</t>
  </si>
  <si>
    <t xml:space="preserve">pick(210,150,30) drop(120,90,25) grip=1</t>
  </si>
  <si>
    <t xml:space="preserve">0x4B2A</t>
  </si>
  <si>
    <t xml:space="preserve">ACK</t>
  </si>
  <si>
    <t xml:space="preserve">10:00:30.023</t>
  </si>
  <si>
    <t xml:space="preserve">RX</t>
  </si>
  <si>
    <t xml:space="preserve">STATUS</t>
  </si>
  <si>
    <t xml:space="preserve">joints ok grip=close</t>
  </si>
  <si>
    <t xml:space="preserve">0x9C11</t>
  </si>
  <si>
    <t xml:space="preserve">OK</t>
  </si>
  <si>
    <t xml:space="preserve">10:00:31.104</t>
  </si>
  <si>
    <t xml:space="preserve">JOINT_MOVE</t>
  </si>
  <si>
    <t xml:space="preserve">J1..J6 目标位</t>
  </si>
  <si>
    <t xml:space="preserve">0xE83F</t>
  </si>
  <si>
    <t xml:space="preserve">10:00:31.106</t>
  </si>
  <si>
    <t xml:space="preserve">moving</t>
  </si>
  <si>
    <t xml:space="preserve">0x7D52</t>
  </si>
  <si>
    <t xml:space="preserve">10:00:33.210</t>
  </si>
  <si>
    <t xml:space="preserve">GRIPPER</t>
  </si>
  <si>
    <t xml:space="preserve">open</t>
  </si>
  <si>
    <t xml:space="preserve">0x15C7</t>
  </si>
  <si>
    <t xml:space="preserve">10:00:33.215</t>
  </si>
  <si>
    <t xml:space="preserve">grip=open</t>
  </si>
  <si>
    <t xml:space="preserve">0xA0B3</t>
  </si>
  <si>
    <t xml:space="preserve">10:00:35.402</t>
  </si>
  <si>
    <t xml:space="preserve">pick(320,240,28) drop(400,300,30) grip=1</t>
  </si>
  <si>
    <t xml:space="preserve">0x3F86</t>
  </si>
  <si>
    <t xml:space="preserve">10:00:35.405</t>
  </si>
  <si>
    <t xml:space="preserve">grasped=cola</t>
  </si>
  <si>
    <t xml:space="preserve">0x6E90</t>
  </si>
  <si>
    <t xml:space="preserve">10:00:36.410</t>
  </si>
  <si>
    <t xml:space="preserve">0x2B71</t>
  </si>
  <si>
    <t xml:space="preserve">CRC-ERR</t>
  </si>
  <si>
    <t xml:space="preserve">10:00:36.490</t>
  </si>
  <si>
    <t xml:space="preserve">重传 pick(320,240,28) grip=1</t>
  </si>
  <si>
    <t xml:space="preserve">10:00:38.120</t>
  </si>
  <si>
    <t xml:space="preserve">10:00:40.003</t>
  </si>
  <si>
    <t xml:space="preserve">idle no_error</t>
  </si>
  <si>
    <t xml:space="preserve">0x88C4</t>
  </si>
  <si>
    <t xml:space="preserve">R2</t>
  </si>
  <si>
    <t xml:space="preserve">10:02:00.115</t>
  </si>
  <si>
    <t xml:space="preserve">pick(180,90,30) drop(500,80,40) grip=1</t>
  </si>
  <si>
    <t xml:space="preserve">0xD102</t>
  </si>
  <si>
    <t xml:space="preserve">10:02:00.118</t>
  </si>
  <si>
    <t xml:space="preserve">0x3A7E</t>
  </si>
  <si>
    <t xml:space="preserve">10:02:02.203</t>
  </si>
  <si>
    <t xml:space="preserve">release</t>
  </si>
  <si>
    <t xml:space="preserve">0xD412</t>
  </si>
  <si>
    <t xml:space="preserve">10:02:02.206</t>
  </si>
  <si>
    <t xml:space="preserve">0xB50E</t>
  </si>
  <si>
    <t xml:space="preserve">10:02:04.310</t>
  </si>
  <si>
    <t xml:space="preserve">J1..J6 回零位</t>
  </si>
  <si>
    <t xml:space="preserve">0x71C5</t>
  </si>
  <si>
    <t xml:space="preserve">10:02:04.313</t>
  </si>
  <si>
    <t xml:space="preserve">homing</t>
  </si>
  <si>
    <t xml:space="preserve">0x2D9A</t>
  </si>
  <si>
    <t xml:space="preserve">10:02:06.420</t>
  </si>
  <si>
    <t xml:space="preserve">pick(356,470,12) drop(60,240,15) grip=1</t>
  </si>
  <si>
    <t xml:space="preserve">0xBE37</t>
  </si>
  <si>
    <t xml:space="preserve">10:02:06.423</t>
  </si>
  <si>
    <t xml:space="preserve">grasped=screwdriver</t>
  </si>
  <si>
    <t xml:space="preserve">0xF08C</t>
  </si>
  <si>
    <t xml:space="preserve">10:02:08.531</t>
  </si>
  <si>
    <t xml:space="preserve">10:02:08.534</t>
  </si>
  <si>
    <t xml:space="preserve">10:02:10.011</t>
  </si>
  <si>
    <t xml:space="preserve">query</t>
  </si>
  <si>
    <t xml:space="preserve">0x1F73</t>
  </si>
  <si>
    <t xml:space="preserve">10:02:10.014</t>
  </si>
  <si>
    <t xml:space="preserve">四、链路统计（公式）</t>
  </si>
  <si>
    <t xml:space="preserve">指标</t>
  </si>
  <si>
    <t xml:space="preserve">数值</t>
  </si>
  <si>
    <t xml:space="preserve">口径</t>
  </si>
  <si>
    <t xml:space="preserve">发送帧数</t>
  </si>
  <si>
    <t xml:space="preserve">样例 TX 计数</t>
  </si>
  <si>
    <t xml:space="preserve">接收帧数</t>
  </si>
  <si>
    <t xml:space="preserve">样例 RX 计数</t>
  </si>
  <si>
    <t xml:space="preserve">帧正确率</t>
  </si>
  <si>
    <t xml:space="preserve">1-（CRC错误帧/总帧）</t>
  </si>
  <si>
    <t xml:space="preserve">CRC 错误帧数</t>
  </si>
  <si>
    <t xml:space="preserve">样例 CRC-ERR 计数</t>
  </si>
  <si>
    <t xml:space="preserve">长测丢包率</t>
  </si>
  <si>
    <t xml:space="preserve">10000 帧丢失 31 帧</t>
  </si>
  <si>
    <t xml:space="preserve">链路可用率</t>
  </si>
  <si>
    <t xml:space="preserve">1-丢包率</t>
  </si>
  <si>
    <t xml:space="preserve">运动控制 · 六轴关节与示教复现</t>
  </si>
  <si>
    <t xml:space="preserve">关节空间 + 笛卡尔空间双模式 · 梯形速度规划 · 6 次示教重复</t>
  </si>
  <si>
    <t xml:space="preserve">一、关节参数</t>
  </si>
  <si>
    <t xml:space="preserve">关节</t>
  </si>
  <si>
    <t xml:space="preserve">类型</t>
  </si>
  <si>
    <t xml:space="preserve">限位(deg)</t>
  </si>
  <si>
    <t xml:space="preserve">最大速度(deg/s)</t>
  </si>
  <si>
    <t xml:space="preserve">最大加速度(deg/s²)</t>
  </si>
  <si>
    <t xml:space="preserve">回零位置(deg)</t>
  </si>
  <si>
    <t xml:space="preserve">编码器精度</t>
  </si>
  <si>
    <t xml:space="preserve">伺服周期</t>
  </si>
  <si>
    <t xml:space="preserve">J1</t>
  </si>
  <si>
    <t xml:space="preserve">旋转</t>
  </si>
  <si>
    <t xml:space="preserve">[-170,170]</t>
  </si>
  <si>
    <t xml:space="preserve">0.01°</t>
  </si>
  <si>
    <t xml:space="preserve">1ms</t>
  </si>
  <si>
    <t xml:space="preserve">J2</t>
  </si>
  <si>
    <t xml:space="preserve">摆动</t>
  </si>
  <si>
    <t xml:space="preserve">[-95,105]</t>
  </si>
  <si>
    <t xml:space="preserve">J3</t>
  </si>
  <si>
    <t xml:space="preserve">[-135,95]</t>
  </si>
  <si>
    <t xml:space="preserve">J4</t>
  </si>
  <si>
    <t xml:space="preserve">[-180,180]</t>
  </si>
  <si>
    <t xml:space="preserve">J5</t>
  </si>
  <si>
    <t xml:space="preserve">[-120,120]</t>
  </si>
  <si>
    <t xml:space="preserve">J6</t>
  </si>
  <si>
    <t xml:space="preserve">二、示教复现记录（6 次重复）</t>
  </si>
  <si>
    <t xml:space="preserve">示教名称</t>
  </si>
  <si>
    <t xml:space="preserve">段数</t>
  </si>
  <si>
    <t xml:space="preserve">示教时长(s)</t>
  </si>
  <si>
    <t xml:space="preserve">复现时长(s)</t>
  </si>
  <si>
    <t xml:space="preserve">最大角度误差(deg)</t>
  </si>
  <si>
    <t xml:space="preserve">最大位置误差(mm)</t>
  </si>
  <si>
    <t xml:space="preserve">复现结果</t>
  </si>
  <si>
    <t xml:space="preserve">备注</t>
  </si>
  <si>
    <t xml:space="preserve">可乐瓶侧向抓取</t>
  </si>
  <si>
    <t xml:space="preserve">成功</t>
  </si>
  <si>
    <t xml:space="preserve">操作员示教</t>
  </si>
  <si>
    <t xml:space="preserve">重复-2</t>
  </si>
  <si>
    <t xml:space="preserve">杯具定点放置</t>
  </si>
  <si>
    <t xml:space="preserve">双段串联</t>
  </si>
  <si>
    <t xml:space="preserve">垃圾清理路径</t>
  </si>
  <si>
    <t xml:space="preserve">含安全抬升</t>
  </si>
  <si>
    <t xml:space="preserve">连续搬运两件</t>
  </si>
  <si>
    <t xml:space="preserve">多目标任务</t>
  </si>
  <si>
    <t xml:space="preserve">三、轨迹规划样例（一次抓取任务）</t>
  </si>
  <si>
    <t xml:space="preserve">阶段</t>
  </si>
  <si>
    <t xml:space="preserve">起始位姿</t>
  </si>
  <si>
    <t xml:space="preserve">目标位姿</t>
  </si>
  <si>
    <t xml:space="preserve">插补时间(s)</t>
  </si>
  <si>
    <t xml:space="preserve">峰值速度</t>
  </si>
  <si>
    <t xml:space="preserve">安全抬升(mm)</t>
  </si>
  <si>
    <t xml:space="preserve">碰撞检查</t>
  </si>
  <si>
    <t xml:space="preserve">结果</t>
  </si>
  <si>
    <t xml:space="preserve">回零→预备</t>
  </si>
  <si>
    <t xml:space="preserve">J0(0,0,-90,0,0,0)</t>
  </si>
  <si>
    <t xml:space="preserve">J(0,-30,-60,0,-20,0)</t>
  </si>
  <si>
    <t xml:space="preserve">140°/s</t>
  </si>
  <si>
    <t xml:space="preserve">—</t>
  </si>
  <si>
    <t xml:space="preserve">通过</t>
  </si>
  <si>
    <t xml:space="preserve">OK</t>
  </si>
  <si>
    <t xml:space="preserve">预备→目标上方</t>
  </si>
  <si>
    <t xml:space="preserve">预备位</t>
  </si>
  <si>
    <t xml:space="preserve">pick(210,150,80)</t>
  </si>
  <si>
    <t xml:space="preserve">180mm/s</t>
  </si>
  <si>
    <t xml:space="preserve">safe_z=80</t>
  </si>
  <si>
    <t xml:space="preserve">下降接近</t>
  </si>
  <si>
    <t xml:space="preserve">目标上方</t>
  </si>
  <si>
    <t xml:space="preserve">pick(210,150,30)</t>
  </si>
  <si>
    <t xml:space="preserve">90mm/s</t>
  </si>
  <si>
    <t xml:space="preserve">夹持</t>
  </si>
  <si>
    <t xml:space="preserve">接近位</t>
  </si>
  <si>
    <t xml:space="preserve">grip=close</t>
  </si>
  <si>
    <t xml:space="preserve">抬升离开</t>
  </si>
  <si>
    <t xml:space="preserve">夹持位</t>
  </si>
  <si>
    <t xml:space="preserve">120mm/s</t>
  </si>
  <si>
    <t xml:space="preserve">搬运</t>
  </si>
  <si>
    <t xml:space="preserve">抬升位</t>
  </si>
  <si>
    <t xml:space="preserve">drop(120,90,80)</t>
  </si>
  <si>
    <t xml:space="preserve">200mm/s</t>
  </si>
  <si>
    <t xml:space="preserve">下降放置</t>
  </si>
  <si>
    <t xml:space="preserve">搬运位</t>
  </si>
  <si>
    <t xml:space="preserve">drop(120,90,25)</t>
  </si>
  <si>
    <t xml:space="preserve">释放回零</t>
  </si>
  <si>
    <t xml:space="preserve">放置位</t>
  </si>
  <si>
    <t xml:space="preserve">grip=open → J0</t>
  </si>
  <si>
    <t xml:space="preserve">160mm/s</t>
  </si>
  <si>
    <t xml:space="preserve">抓取操作 · 真机抓取日志与任务演示</t>
  </si>
  <si>
    <t xml:space="preserve">真机/回放演示集 108 次（3 轮×36）· 抽样日志 27 条含失败样本 · 多轮重复</t>
  </si>
  <si>
    <t xml:space="preserve">一、真机抓取日志（3 轮 × 9 条）</t>
  </si>
  <si>
    <t xml:space="preserve">记录ID</t>
  </si>
  <si>
    <t xml:space="preserve">轮次</t>
  </si>
  <si>
    <t xml:space="preserve">目标</t>
  </si>
  <si>
    <t xml:space="preserve">类别</t>
  </si>
  <si>
    <t xml:space="preserve">拾取坐标(mm)</t>
  </si>
  <si>
    <t xml:space="preserve">放置坐标(mm)</t>
  </si>
  <si>
    <t xml:space="preserve">夹爪模式</t>
  </si>
  <si>
    <t xml:space="preserve">执行时长(s)</t>
  </si>
  <si>
    <t xml:space="preserve">结果</t>
  </si>
  <si>
    <t xml:space="preserve">备注</t>
  </si>
  <si>
    <t xml:space="preserve">G-0001</t>
  </si>
  <si>
    <t xml:space="preserve">R1</t>
  </si>
  <si>
    <t xml:space="preserve">可乐瓶</t>
  </si>
  <si>
    <t xml:space="preserve">cola</t>
  </si>
  <si>
    <t xml:space="preserve">(210,150,30)</t>
  </si>
  <si>
    <t xml:space="preserve">(120,90,25)</t>
  </si>
  <si>
    <t xml:space="preserve">夹持</t>
  </si>
  <si>
    <t xml:space="preserve">成功</t>
  </si>
  <si>
    <t xml:space="preserve">定点放置</t>
  </si>
  <si>
    <t xml:space="preserve">G-0002</t>
  </si>
  <si>
    <t xml:space="preserve">笔</t>
  </si>
  <si>
    <t xml:space="preserve">pen</t>
  </si>
  <si>
    <t xml:space="preserve">(158,330,20)</t>
  </si>
  <si>
    <t xml:space="preserve">(60,60,15)</t>
  </si>
  <si>
    <t xml:space="preserve">细长目标</t>
  </si>
  <si>
    <t xml:space="preserve">G-0003</t>
  </si>
  <si>
    <t xml:space="preserve">纸巾</t>
  </si>
  <si>
    <t xml:space="preserve">tissue</t>
  </si>
  <si>
    <t xml:space="preserve">(330,220,15)</t>
  </si>
  <si>
    <t xml:space="preserve">(400,300,20)</t>
  </si>
  <si>
    <t xml:space="preserve">失败</t>
  </si>
  <si>
    <t xml:space="preserve">滑落，复抓成功</t>
  </si>
  <si>
    <t xml:space="preserve">G-0004</t>
  </si>
  <si>
    <t xml:space="preserve">垃圾团</t>
  </si>
  <si>
    <t xml:space="preserve">trash</t>
  </si>
  <si>
    <t xml:space="preserve">(280,260,12)</t>
  </si>
  <si>
    <t xml:space="preserve">(500,80,40)</t>
  </si>
  <si>
    <t xml:space="preserve">清扫</t>
  </si>
  <si>
    <t xml:space="preserve">投入垃圾桶</t>
  </si>
  <si>
    <t xml:space="preserve">G-0005</t>
  </si>
  <si>
    <t xml:space="preserve">水杯</t>
  </si>
  <si>
    <t xml:space="preserve">cup</t>
  </si>
  <si>
    <t xml:space="preserve">(96,360,25)</t>
  </si>
  <si>
    <t xml:space="preserve">(60,240,20)</t>
  </si>
  <si>
    <t xml:space="preserve">透明杯</t>
  </si>
  <si>
    <t xml:space="preserve">G-0006</t>
  </si>
  <si>
    <t xml:space="preserve">手机</t>
  </si>
  <si>
    <t xml:space="preserve">phone</t>
  </si>
  <si>
    <t xml:space="preserve">(420,150,18)</t>
  </si>
  <si>
    <t xml:space="preserve">(360,360,15)</t>
  </si>
  <si>
    <t xml:space="preserve">反光面</t>
  </si>
  <si>
    <t xml:space="preserve">G-0007</t>
  </si>
  <si>
    <t xml:space="preserve">易拉罐</t>
  </si>
  <si>
    <t xml:space="preserve">can</t>
  </si>
  <si>
    <t xml:space="preserve">(180,90,30)</t>
  </si>
  <si>
    <t xml:space="preserve">投入回收桶</t>
  </si>
  <si>
    <t xml:space="preserve">G-0008</t>
  </si>
  <si>
    <t xml:space="preserve">耳机</t>
  </si>
  <si>
    <t xml:space="preserve">earphone</t>
  </si>
  <si>
    <t xml:space="preserve">(320,430,12)</t>
  </si>
  <si>
    <t xml:space="preserve">小目标难例</t>
  </si>
  <si>
    <t xml:space="preserve">G-0009</t>
  </si>
  <si>
    <t xml:space="preserve">纸盒</t>
  </si>
  <si>
    <t xml:space="preserve">box</t>
  </si>
  <si>
    <t xml:space="preserve">(240,150,35)</t>
  </si>
  <si>
    <t xml:space="preserve">(180,300,20)</t>
  </si>
  <si>
    <t xml:space="preserve">大目标</t>
  </si>
  <si>
    <t xml:space="preserve">G-0010</t>
  </si>
  <si>
    <t xml:space="preserve">R2</t>
  </si>
  <si>
    <t xml:space="preserve">螺丝刀</t>
  </si>
  <si>
    <t xml:space="preserve">screwdriver</t>
  </si>
  <si>
    <t xml:space="preserve">(356,470,10)</t>
  </si>
  <si>
    <t xml:space="preserve">(60,240,15)</t>
  </si>
  <si>
    <t xml:space="preserve">G-0011</t>
  </si>
  <si>
    <t xml:space="preserve">充电器</t>
  </si>
  <si>
    <t xml:space="preserve">charger</t>
  </si>
  <si>
    <t xml:space="preserve">(430,260,14)</t>
  </si>
  <si>
    <t xml:space="preserve">(300,360,15)</t>
  </si>
  <si>
    <t xml:space="preserve">线缆整理</t>
  </si>
  <si>
    <t xml:space="preserve">G-0012</t>
  </si>
  <si>
    <t xml:space="preserve">橡皮</t>
  </si>
  <si>
    <t xml:space="preserve">eraser</t>
  </si>
  <si>
    <t xml:space="preserve">(176,96,8)</t>
  </si>
  <si>
    <t xml:space="preserve">(420,240,12)</t>
  </si>
  <si>
    <t xml:space="preserve">小目标</t>
  </si>
  <si>
    <t xml:space="preserve">G-0013</t>
  </si>
  <si>
    <t xml:space="preserve">(500,120,10)</t>
  </si>
  <si>
    <t xml:space="preserve">桌角垃圾</t>
  </si>
  <si>
    <t xml:space="preserve">G-0014</t>
  </si>
  <si>
    <t xml:space="preserve">(130,410,28)</t>
  </si>
  <si>
    <t xml:space="preserve">(300,240,25)</t>
  </si>
  <si>
    <t xml:space="preserve">随机摆放</t>
  </si>
  <si>
    <t xml:space="preserve">G-0015</t>
  </si>
  <si>
    <t xml:space="preserve">(400,90,24)</t>
  </si>
  <si>
    <t xml:space="preserve">(420,360,20)</t>
  </si>
  <si>
    <t xml:space="preserve">杯口朝下难例</t>
  </si>
  <si>
    <t xml:space="preserve">G-0016</t>
  </si>
  <si>
    <t xml:space="preserve">(220,180,18)</t>
  </si>
  <si>
    <t xml:space="preserve">笔帽朝前</t>
  </si>
  <si>
    <t xml:space="preserve">G-0017</t>
  </si>
  <si>
    <t xml:space="preserve">(360,310,14)</t>
  </si>
  <si>
    <t xml:space="preserve">脱手，复抓成功</t>
  </si>
  <si>
    <t xml:space="preserve">G-0018</t>
  </si>
  <si>
    <t xml:space="preserve">(90,240,20)</t>
  </si>
  <si>
    <t xml:space="preserve">屏朝下</t>
  </si>
  <si>
    <t xml:space="preserve">G-0019</t>
  </si>
  <si>
    <t xml:space="preserve">R3</t>
  </si>
  <si>
    <t xml:space="preserve">(240,300,12)</t>
  </si>
  <si>
    <t xml:space="preserve">G-0020</t>
  </si>
  <si>
    <t xml:space="preserve">(480,200,30)</t>
  </si>
  <si>
    <t xml:space="preserve">G-0021</t>
  </si>
  <si>
    <t xml:space="preserve">(140,120,35)</t>
  </si>
  <si>
    <t xml:space="preserve">G-0022</t>
  </si>
  <si>
    <t xml:space="preserve">(300,420,14)</t>
  </si>
  <si>
    <t xml:space="preserve">G-0023</t>
  </si>
  <si>
    <t xml:space="preserve">(420,340,8)</t>
  </si>
  <si>
    <t xml:space="preserve">G-0024</t>
  </si>
  <si>
    <t xml:space="preserve">(250,90,10)</t>
  </si>
  <si>
    <t xml:space="preserve">桌面垃圾</t>
  </si>
  <si>
    <t xml:space="preserve">G-0025</t>
  </si>
  <si>
    <t xml:space="preserve">(360,150,10)</t>
  </si>
  <si>
    <t xml:space="preserve">逆光难例</t>
  </si>
  <si>
    <t xml:space="preserve">G-0026</t>
  </si>
  <si>
    <t xml:space="preserve">(210,300,28)</t>
  </si>
  <si>
    <t xml:space="preserve">G-0027</t>
  </si>
  <si>
    <t xml:space="preserve">(320,210,24)</t>
  </si>
  <si>
    <t xml:space="preserve">二、抓取统计（公式）</t>
  </si>
  <si>
    <t xml:space="preserve">指标</t>
  </si>
  <si>
    <t xml:space="preserve">数值</t>
  </si>
  <si>
    <t xml:space="preserve">口径</t>
  </si>
  <si>
    <t xml:space="preserve"/>
  </si>
  <si>
    <t xml:space="preserve">日志样本数</t>
  </si>
  <si>
    <t xml:space="preserve">抽样日志计数</t>
  </si>
  <si>
    <t xml:space="preserve">成功次数</t>
  </si>
  <si>
    <t xml:space="preserve">抽样成功计数</t>
  </si>
  <si>
    <t xml:space="preserve">样例成功率</t>
  </si>
  <si>
    <t xml:space="preserve">成功/样本数</t>
  </si>
  <si>
    <t xml:space="preserve">平均执行时长</t>
  </si>
  <si>
    <t xml:space="preserve">抽样均值</t>
  </si>
  <si>
    <t xml:space="preserve">演示集成功率</t>
  </si>
  <si>
    <t xml:space="preserve">105/108（3 轮×36）</t>
  </si>
  <si>
    <t xml:space="preserve">演示集平均节拍</t>
  </si>
  <si>
    <t xml:space="preserve">108 次均值</t>
  </si>
  <si>
    <t xml:space="preserve">三、按类别汇总（公式）</t>
  </si>
  <si>
    <t xml:space="preserve">次数</t>
  </si>
  <si>
    <t xml:space="preserve">成功率</t>
  </si>
  <si>
    <t xml:space="preserve">合计</t>
  </si>
  <si>
    <t xml:space="preserve">四、桌面整理 / 垃圾清理 任务演示</t>
  </si>
  <si>
    <t xml:space="preserve">任务</t>
  </si>
  <si>
    <t xml:space="preserve">步骤数</t>
  </si>
  <si>
    <t xml:space="preserve">涉及对象</t>
  </si>
  <si>
    <t xml:space="preserve">完成度</t>
  </si>
  <si>
    <t xml:space="preserve">遗留项</t>
  </si>
  <si>
    <t xml:space="preserve">桌面整理</t>
  </si>
  <si>
    <t xml:space="preserve">笔×2 手机 耳机 充电器 纸盒 橡皮</t>
  </si>
  <si>
    <t xml:space="preserve">无</t>
  </si>
  <si>
    <t xml:space="preserve">按类别归位</t>
  </si>
  <si>
    <t xml:space="preserve">可乐瓶 易拉罐 水杯 纸巾</t>
  </si>
  <si>
    <t xml:space="preserve">按区域归位</t>
  </si>
  <si>
    <t xml:space="preserve">混合 18 件乱序</t>
  </si>
  <si>
    <t xml:space="preserve">全流程串联</t>
  </si>
  <si>
    <t xml:space="preserve">垃圾清理</t>
  </si>
  <si>
    <t xml:space="preserve">垃圾团×3 空瓶 废纸</t>
  </si>
  <si>
    <t xml:space="preserve">纸巾团×4 空罐×2 碎纸</t>
  </si>
  <si>
    <t xml:space="preserve">线缆缠绕件 1 项</t>
  </si>
  <si>
    <t xml:space="preserve">分类清理</t>
  </si>
  <si>
    <t xml:space="preserve">混合任务</t>
  </si>
  <si>
    <t xml:space="preserve">整理+清理混合 18 件</t>
  </si>
  <si>
    <t xml:space="preserve">多轮重复</t>
  </si>
  <si>
    <t xml:space="preserve">VLA 推理 · 语言指令到六轴动作</t>
  </si>
  <si>
    <t xml:space="preserve">Temporal VLA · RGB 64×64 + 指令 + 状态 → 12 步 Cartesian 动作块 · 1.83M 参数 · 2 轮 20 条指令</t>
  </si>
  <si>
    <t xml:space="preserve">一、模型信息</t>
  </si>
  <si>
    <t xml:space="preserve">项目</t>
  </si>
  <si>
    <t xml:space="preserve">内容</t>
  </si>
  <si>
    <t xml:space="preserve"/>
  </si>
  <si>
    <t xml:space="preserve">模型名称</t>
  </si>
  <si>
    <t xml:space="preserve">TemporalVLA-SixAxis v2.1</t>
  </si>
  <si>
    <t xml:space="preserve">结构</t>
  </si>
  <si>
    <t xml:space="preserve">空间保留视觉编码 + 指令编码 + 时序动作头 + 辅助头（目标定位/阶段）</t>
  </si>
  <si>
    <t xml:space="preserve">参数量</t>
  </si>
  <si>
    <t xml:space="preserve">1.83M</t>
  </si>
  <si>
    <t xml:space="preserve">动作块</t>
  </si>
  <si>
    <t xml:space="preserve">12 步 × 6 轴笛卡尔 + 夹爪</t>
  </si>
  <si>
    <t xml:space="preserve">推理硬件</t>
  </si>
  <si>
    <t xml:space="preserve">本地 GPU / 边缘 CPU 双模式</t>
  </si>
  <si>
    <t xml:space="preserve">二、语言指令演示（2 轮 × 10 条）</t>
  </si>
  <si>
    <t xml:space="preserve">轮次</t>
  </si>
  <si>
    <t xml:space="preserve">指令（中文）</t>
  </si>
  <si>
    <t xml:space="preserve">指令（英文）</t>
  </si>
  <si>
    <t xml:space="preserve">解析目标</t>
  </si>
  <si>
    <t xml:space="preserve">目标类别</t>
  </si>
  <si>
    <t xml:space="preserve">目标像素</t>
  </si>
  <si>
    <t xml:space="preserve">推理延迟(ms)</t>
  </si>
  <si>
    <t xml:space="preserve">动作块摘要</t>
  </si>
  <si>
    <t xml:space="preserve">执行结果</t>
  </si>
  <si>
    <t xml:space="preserve">R1</t>
  </si>
  <si>
    <t xml:space="preserve">把可乐瓶放到左边托盘</t>
  </si>
  <si>
    <t xml:space="preserve">Put the cola bottle into the left tray</t>
  </si>
  <si>
    <t xml:space="preserve">可乐瓶</t>
  </si>
  <si>
    <t xml:space="preserve">cola</t>
  </si>
  <si>
    <t xml:space="preserve">(412,236)</t>
  </si>
  <si>
    <t xml:space="preserve">12步@40Hz</t>
  </si>
  <si>
    <t xml:space="preserve">成功</t>
  </si>
  <si>
    <t xml:space="preserve">将笔收拾到笔筒</t>
  </si>
  <si>
    <t xml:space="preserve">Tidy the pen into the pen holder</t>
  </si>
  <si>
    <t xml:space="preserve">笔</t>
  </si>
  <si>
    <t xml:space="preserve">pen</t>
  </si>
  <si>
    <t xml:space="preserve">(158,402)</t>
  </si>
  <si>
    <t xml:space="preserve">捡起纸巾扔进垃圾桶</t>
  </si>
  <si>
    <t xml:space="preserve">Pick up the tissue and throw it into the bin</t>
  </si>
  <si>
    <t xml:space="preserve">纸巾</t>
  </si>
  <si>
    <t xml:space="preserve">tissue</t>
  </si>
  <si>
    <t xml:space="preserve">(604,350)</t>
  </si>
  <si>
    <t xml:space="preserve">清理桌面的垃圾</t>
  </si>
  <si>
    <t xml:space="preserve">Clean up the trash on the desk</t>
  </si>
  <si>
    <t xml:space="preserve">垃圾团</t>
  </si>
  <si>
    <t xml:space="preserve">trash</t>
  </si>
  <si>
    <t xml:space="preserve">(520,460)</t>
  </si>
  <si>
    <t xml:space="preserve">级联动作块</t>
  </si>
  <si>
    <t xml:space="preserve">把杯子放到左边</t>
  </si>
  <si>
    <t xml:space="preserve">Move the cup to the left side</t>
  </si>
  <si>
    <t xml:space="preserve">水杯</t>
  </si>
  <si>
    <t xml:space="preserve">cup</t>
  </si>
  <si>
    <t xml:space="preserve">(320,288)</t>
  </si>
  <si>
    <t xml:space="preserve">把手机递过来</t>
  </si>
  <si>
    <t xml:space="preserve">Hand me the phone</t>
  </si>
  <si>
    <t xml:space="preserve">手机</t>
  </si>
  <si>
    <t xml:space="preserve">phone</t>
  </si>
  <si>
    <t xml:space="preserve">(240,180)</t>
  </si>
  <si>
    <t xml:space="preserve">Take the can to the recycle bin</t>
  </si>
  <si>
    <t xml:space="preserve">把易拉罐放到回收桶</t>
  </si>
  <si>
    <t xml:space="preserve">易拉罐</t>
  </si>
  <si>
    <t xml:space="preserve">can</t>
  </si>
  <si>
    <t xml:space="preserve">(688,240)</t>
  </si>
  <si>
    <t xml:space="preserve">整理桌面，把杂物归位</t>
  </si>
  <si>
    <t xml:space="preserve">Tidy the desk and put things back</t>
  </si>
  <si>
    <t xml:space="preserve">多目标</t>
  </si>
  <si>
    <t xml:space="preserve">multi</t>
  </si>
  <si>
    <t xml:space="preserve">(多框)</t>
  </si>
  <si>
    <t xml:space="preserve">Move the screwdriver to the toolbox</t>
  </si>
  <si>
    <t xml:space="preserve">把螺丝刀放回工具箱</t>
  </si>
  <si>
    <t xml:space="preserve">螺丝刀</t>
  </si>
  <si>
    <t xml:space="preserve">screwdriver</t>
  </si>
  <si>
    <t xml:space="preserve">(356,512)</t>
  </si>
  <si>
    <t xml:space="preserve">抓取充电器并整理线缆</t>
  </si>
  <si>
    <t xml:space="preserve">Grasp the charger and tidy its cable</t>
  </si>
  <si>
    <t xml:space="preserve">充电器</t>
  </si>
  <si>
    <t xml:space="preserve">charger</t>
  </si>
  <si>
    <t xml:space="preserve">(560,200)</t>
  </si>
  <si>
    <t xml:space="preserve">失败</t>
  </si>
  <si>
    <t xml:space="preserve">R2</t>
  </si>
  <si>
    <t xml:space="preserve">三、汇总（公式）</t>
  </si>
  <si>
    <t xml:space="preserve">指标</t>
  </si>
  <si>
    <t xml:space="preserve">数值</t>
  </si>
  <si>
    <t xml:space="preserve">口径</t>
  </si>
  <si>
    <t xml:space="preserve">指令条数</t>
  </si>
  <si>
    <t xml:space="preserve">2 轮指令计数</t>
  </si>
  <si>
    <t xml:space="preserve">执行成功率</t>
  </si>
  <si>
    <t xml:space="preserve">成功/总数</t>
  </si>
  <si>
    <t xml:space="preserve">平均推理延迟</t>
  </si>
  <si>
    <t xml:space="preserve">20 条均值</t>
  </si>
  <si>
    <t xml:space="preserve">P95 推理延迟</t>
  </si>
  <si>
    <t xml:space="preserve">20 条 P95</t>
  </si>
  <si>
    <t xml:space="preserve">目标定位误差均值</t>
  </si>
  <si>
    <t xml:space="preserve">12.21</t>
  </si>
  <si>
    <t xml:space="preserve">mm · 验证集（真实口径）</t>
  </si>
  <si>
    <t xml:space="preserve">目标定位误差 P95</t>
  </si>
  <si>
    <t xml:space="preserve">18.22</t>
  </si>
  <si>
    <t xml:space="preserve">四、模型版本演进（v1 → v3 内测）</t>
  </si>
  <si>
    <t xml:space="preserve">版本</t>
  </si>
  <si>
    <t xml:space="preserve">参数量(M)</t>
  </si>
  <si>
    <t xml:space="preserve">动作头</t>
  </si>
  <si>
    <t xml:space="preserve">训练数据量</t>
  </si>
  <si>
    <t xml:space="preserve">指令成功率</t>
  </si>
  <si>
    <t xml:space="preserve">发布</t>
  </si>
  <si>
    <t xml:space="preserve">说明</t>
  </si>
  <si>
    <t xml:space="preserve">v1.0</t>
  </si>
  <si>
    <t xml:space="preserve">动作回归头</t>
  </si>
  <si>
    <t xml:space="preserve">v1.0 发布</t>
  </si>
  <si>
    <t xml:space="preserve">首个可用版本</t>
  </si>
  <si>
    <t xml:space="preserve">v2.1</t>
  </si>
  <si>
    <t xml:space="preserve">时序融合 + 辅助监督</t>
  </si>
  <si>
    <t xml:space="preserve">v2.0 Release</t>
  </si>
  <si>
    <t xml:space="preserve">当前发布（本表口径）</t>
  </si>
  <si>
    <t xml:space="preserve">v3.0</t>
  </si>
  <si>
    <t xml:space="preserve">Flow Matching 生成式动作</t>
  </si>
  <si>
    <t xml:space="preserve">内测中</t>
  </si>
  <si>
    <t xml:space="preserve">跨具身预训练 + 真机微调</t>
  </si>
  <si>
    <t xml:space="preserve">五、推理链路分步耗时（均值）</t>
  </si>
  <si>
    <t xml:space="preserve">阶段</t>
  </si>
  <si>
    <t xml:space="preserve">耗时(ms)</t>
  </si>
  <si>
    <t xml:space="preserve">占比</t>
  </si>
  <si>
    <t xml:space="preserve">语言指令编码</t>
  </si>
  <si>
    <t xml:space="preserve">CLIP 文本嵌入</t>
  </si>
  <si>
    <t xml:space="preserve">视觉编码（64×64）</t>
  </si>
  <si>
    <t xml:space="preserve">空间保留 CNN</t>
  </si>
  <si>
    <t xml:space="preserve">跨模态融合</t>
  </si>
  <si>
    <t xml:space="preserve">Cross-Attention</t>
  </si>
  <si>
    <t xml:space="preserve">时序动作解码</t>
  </si>
  <si>
    <t xml:space="preserve">12 步动作块</t>
  </si>
  <si>
    <t xml:space="preserve">合计</t>
  </si>
  <si>
    <t xml:space="preserve">P95=5.52ms</t>
  </si>
  <si>
    <t xml:space="preserve">六、困难样本与边界（含失败闭环）</t>
  </si>
  <si>
    <t xml:space="preserve">样例</t>
  </si>
  <si>
    <t xml:space="preserve">类型</t>
  </si>
  <si>
    <t xml:space="preserve">处置</t>
  </si>
  <si>
    <t xml:space="preserve">结果</t>
  </si>
  <si>
    <t xml:space="preserve">“抓取充电器并整理线缆”（R1 失败）</t>
  </si>
  <si>
    <t xml:space="preserve">多步+线缆交互</t>
  </si>
  <si>
    <t xml:space="preserve">复测 R2 成功</t>
  </si>
  <si>
    <t xml:space="preserve">已闭环</t>
  </si>
  <si>
    <t xml:space="preserve">弱光下深色物体指令误判</t>
  </si>
  <si>
    <t xml:space="preserve">弱光</t>
  </si>
  <si>
    <t xml:space="preserve">曝光自适应 + 复核</t>
  </si>
  <si>
    <t xml:space="preserve">v2.0 修复（XU-005）</t>
  </si>
  <si>
    <t xml:space="preserve">“把杯子和笔都拿起来”</t>
  </si>
  <si>
    <t xml:space="preserve">双宾语多目标</t>
  </si>
  <si>
    <t xml:space="preserve">分解为 2 步执行</t>
  </si>
  <si>
    <t xml:space="preserve">“不要碰手机”</t>
  </si>
  <si>
    <t xml:space="preserve">否定指令</t>
  </si>
  <si>
    <t xml:space="preserve">意图校验通过后执行</t>
  </si>
  <si>
    <t xml:space="preserve">“这是什么？”</t>
  </si>
  <si>
    <t xml:space="preserve">提问型指令</t>
  </si>
  <si>
    <t xml:space="preserve">多模态回答 + 目标展示</t>
  </si>
  <si>
    <t xml:space="preserve">“拿那个”（指向未知物体）</t>
  </si>
  <si>
    <t xml:space="preserve">OOD 开放目标</t>
  </si>
  <si>
    <t xml:space="preserve">主动询问确认</t>
  </si>
  <si>
    <t xml:space="preserve">确认后成功</t>
  </si>
  <si>
    <t xml:space="preserve">超长指令（&gt;30 词）</t>
  </si>
  <si>
    <t xml:space="preserve">长指令</t>
  </si>
  <si>
    <t xml:space="preserve">截断 + 意图摘要</t>
  </si>
  <si>
    <t xml:space="preserve">仿真与评测 · MuJoCo 平台化验证</t>
  </si>
  <si>
    <t xml:space="preserve">桌面单元 · 固定种子 · 6 方法 × 3 轮重复评测 · 领域随机化 9 项</t>
  </si>
  <si>
    <t xml:space="preserve">一、领域随机化参数</t>
  </si>
  <si>
    <t xml:space="preserve">参数</t>
  </si>
  <si>
    <t xml:space="preserve">范围</t>
  </si>
  <si>
    <t xml:space="preserve">说明</t>
  </si>
  <si>
    <t xml:space="preserve"/>
  </si>
  <si>
    <t xml:space="preserve">物体质量</t>
  </si>
  <si>
    <t xml:space="preserve">[0.75, 1.30]×基准</t>
  </si>
  <si>
    <t xml:space="preserve">质量扰动</t>
  </si>
  <si>
    <t xml:space="preserve">摩擦系数</t>
  </si>
  <si>
    <t xml:space="preserve">[0.65, 1.45]×基准</t>
  </si>
  <si>
    <t xml:space="preserve">表面摩擦扰动</t>
  </si>
  <si>
    <t xml:space="preserve">相机位置</t>
  </si>
  <si>
    <t xml:space="preserve">±6 mm</t>
  </si>
  <si>
    <t xml:space="preserve">外参扰动</t>
  </si>
  <si>
    <t xml:space="preserve">相机视场角</t>
  </si>
  <si>
    <t xml:space="preserve">±2.0 deg</t>
  </si>
  <si>
    <t xml:space="preserve">内参扰动</t>
  </si>
  <si>
    <t xml:space="preserve">光照强度</t>
  </si>
  <si>
    <t xml:space="preserve">[0.75, 1.25]×基准</t>
  </si>
  <si>
    <t xml:space="preserve">光照扰动</t>
  </si>
  <si>
    <t xml:space="preserve">物体颜色抖动</t>
  </si>
  <si>
    <t xml:space="preserve">±0.08</t>
  </si>
  <si>
    <t xml:space="preserve">HSV 扰动</t>
  </si>
  <si>
    <t xml:space="preserve">机器人状态噪声</t>
  </si>
  <si>
    <t xml:space="preserve">±2 mm</t>
  </si>
  <si>
    <t xml:space="preserve">关节状态噪声</t>
  </si>
  <si>
    <t xml:space="preserve">检测噪声</t>
  </si>
  <si>
    <t xml:space="preserve">±3 mm</t>
  </si>
  <si>
    <t xml:space="preserve">感知噪声注入</t>
  </si>
  <si>
    <t xml:space="preserve">控制延迟</t>
  </si>
  <si>
    <t xml:space="preserve">0–2 步</t>
  </si>
  <si>
    <t xml:space="preserve">执行延迟模拟</t>
  </si>
  <si>
    <t xml:space="preserve">二、评测矩阵（3 轮重复 · 固定种子）</t>
  </si>
  <si>
    <t xml:space="preserve">方法</t>
  </si>
  <si>
    <t xml:space="preserve">套件</t>
  </si>
  <si>
    <t xml:space="preserve">单轮回合</t>
  </si>
  <si>
    <t xml:space="preserve">轮1成功</t>
  </si>
  <si>
    <t xml:space="preserve">轮2成功</t>
  </si>
  <si>
    <t xml:space="preserve">轮3成功</t>
  </si>
  <si>
    <t xml:space="preserve">总成功</t>
  </si>
  <si>
    <t xml:space="preserve">总回合</t>
  </si>
  <si>
    <t xml:space="preserve">成功率</t>
  </si>
  <si>
    <t xml:space="preserve">碰撞合计</t>
  </si>
  <si>
    <t xml:space="preserve">平均回报</t>
  </si>
  <si>
    <t xml:space="preserve">推理延迟(ms)</t>
  </si>
  <si>
    <t xml:space="preserve">IK 专家（教师）</t>
  </si>
  <si>
    <t xml:space="preserve">六轴任务</t>
  </si>
  <si>
    <t xml:space="preserve">Temporal VLA（辅助监督）</t>
  </si>
  <si>
    <t xml:space="preserve">Temporal VLA（DAgger）</t>
  </si>
  <si>
    <t xml:space="preserve">Temporal VLA（课程+辅助）</t>
  </si>
  <si>
    <t xml:space="preserve">单物体</t>
  </si>
  <si>
    <t xml:space="preserve">空间热图定位器</t>
  </si>
  <si>
    <t xml:space="preserve">定位套件</t>
  </si>
  <si>
    <t xml:space="preserve">视觉引导六轴闭环</t>
  </si>
  <si>
    <t xml:space="preserve">RGB 引导</t>
  </si>
  <si>
    <t xml:space="preserve">全部方法合计</t>
  </si>
  <si>
    <t xml:space="preserve">—</t>
  </si>
  <si>
    <t xml:space="preserve">三、关键指标</t>
  </si>
  <si>
    <t xml:space="preserve">指标</t>
  </si>
  <si>
    <t xml:space="preserve">数值</t>
  </si>
  <si>
    <t xml:space="preserve">口径</t>
  </si>
  <si>
    <t xml:space="preserve">定位误差均值</t>
  </si>
  <si>
    <t xml:space="preserve">12.21</t>
  </si>
  <si>
    <t xml:space="preserve">mm · 样本分离验证集</t>
  </si>
  <si>
    <t xml:space="preserve">定位误差 P95</t>
  </si>
  <si>
    <t xml:space="preserve">18.22</t>
  </si>
  <si>
    <t xml:space="preserve">感知→动作延迟均值</t>
  </si>
  <si>
    <t xml:space="preserve">4.63</t>
  </si>
  <si>
    <t xml:space="preserve">ms · 本地 PyTorch</t>
  </si>
  <si>
    <t xml:space="preserve">感知→动作延迟 P95</t>
  </si>
  <si>
    <t xml:space="preserve">5.52</t>
  </si>
  <si>
    <t xml:space="preserve">ONNX 奇偶校验</t>
  </si>
  <si>
    <t xml:space="preserve">最大绝对误差 &lt; 1.2e-6</t>
  </si>
  <si>
    <t xml:space="preserve">六轴闭环固定场景</t>
  </si>
  <si>
    <t xml:space="preserve">15/15</t>
  </si>
  <si>
    <t xml:space="preserve">真实记录：15 成功 0 碰撞</t>
  </si>
  <si>
    <t xml:space="preserve">全部方法平均成功率</t>
  </si>
  <si>
    <t xml:space="preserve">6 方法成功率均值</t>
  </si>
  <si>
    <t xml:space="preserve">数据与训练 · 具身数据金字塔</t>
  </si>
  <si>
    <t xml:space="preserve"/>
  </si>
  <si>
    <t xml:space="preserve">真机日志 + 仿真合成 + DAgger 纠偏 + 课程学习 · 3 次独立训练记录</t>
  </si>
  <si>
    <t xml:space="preserve">一、数据集统计</t>
  </si>
  <si>
    <t xml:space="preserve">数据集</t>
  </si>
  <si>
    <t xml:space="preserve">回合数</t>
  </si>
  <si>
    <t xml:space="preserve">转移数</t>
  </si>
  <si>
    <t xml:space="preserve">成功回合</t>
  </si>
  <si>
    <t xml:space="preserve">失败保留</t>
  </si>
  <si>
    <t xml:space="preserve">任务类型</t>
  </si>
  <si>
    <t xml:space="preserve">来源</t>
  </si>
  <si>
    <t xml:space="preserve">用途</t>
  </si>
  <si>
    <t xml:space="preserve">专家示范（六轴）</t>
  </si>
  <si>
    <t xml:space="preserve">三物体任务</t>
  </si>
  <si>
    <t xml:space="preserve">MuJoCo IK</t>
  </si>
  <si>
    <t xml:space="preserve">基础行为克隆</t>
  </si>
  <si>
    <t xml:space="preserve">DAgger 纠偏（三物体）</t>
  </si>
  <si>
    <t xml:space="preserve">模型自走+专家补标</t>
  </si>
  <si>
    <t xml:space="preserve">闭环纠偏</t>
  </si>
  <si>
    <t xml:space="preserve">DAgger 平衡（三物体）</t>
  </si>
  <si>
    <t xml:space="preserve">平衡采样</t>
  </si>
  <si>
    <t xml:space="preserve">分布平衡</t>
  </si>
  <si>
    <t xml:space="preserve">课程学习（单物体）</t>
  </si>
  <si>
    <t xml:space="preserve">单物体</t>
  </si>
  <si>
    <t xml:space="preserve">课程采样</t>
  </si>
  <si>
    <t xml:space="preserve">先学会闭环抓取</t>
  </si>
  <si>
    <t xml:space="preserve">辅助标签（六轴）</t>
  </si>
  <si>
    <t xml:space="preserve">合成目标+阶段标签</t>
  </si>
  <si>
    <t xml:space="preserve">多任务训练</t>
  </si>
  <si>
    <t xml:space="preserve">真机抓取日志</t>
  </si>
  <si>
    <t xml:space="preserve">真机抓取</t>
  </si>
  <si>
    <t xml:space="preserve">实机执行</t>
  </si>
  <si>
    <t xml:space="preserve">Real2Sim2Real</t>
  </si>
  <si>
    <t xml:space="preserve">二、训练记录（3 次独立训练）</t>
  </si>
  <si>
    <t xml:space="preserve">模型</t>
  </si>
  <si>
    <t xml:space="preserve">参数量</t>
  </si>
  <si>
    <t xml:space="preserve">优化步数</t>
  </si>
  <si>
    <t xml:space="preserve">验证损失</t>
  </si>
  <si>
    <t xml:space="preserve">训练时长</t>
  </si>
  <si>
    <t xml:space="preserve">硬件</t>
  </si>
  <si>
    <t xml:space="preserve">说明</t>
  </si>
  <si>
    <t xml:space="preserve">TemporalVLA-SixAxis v2.0 seed-1</t>
  </si>
  <si>
    <t xml:space="preserve">专家示范</t>
  </si>
  <si>
    <t xml:space="preserve">1.83M</t>
  </si>
  <si>
    <t xml:space="preserve">42 min</t>
  </si>
  <si>
    <t xml:space="preserve">RTX 4070</t>
  </si>
  <si>
    <t xml:space="preserve">动作+辅助多任务</t>
  </si>
  <si>
    <t xml:space="preserve">TemporalVLA-SixAxis v2.0 seed-2</t>
  </si>
  <si>
    <t xml:space="preserve">41 min</t>
  </si>
  <si>
    <t xml:space="preserve">重复训练-2</t>
  </si>
  <si>
    <t xml:space="preserve">TemporalVLA-SixAxis v2.0 seed-3</t>
  </si>
  <si>
    <t xml:space="preserve">43 min</t>
  </si>
  <si>
    <t xml:space="preserve">重复训练-3</t>
  </si>
  <si>
    <t xml:space="preserve">TemporalVLA-SixAxis v2.1-DAgger</t>
  </si>
  <si>
    <t xml:space="preserve">DAgger 纠偏</t>
  </si>
  <si>
    <t xml:space="preserve">3.2 h</t>
  </si>
  <si>
    <t xml:space="preserve">28 轮微调</t>
  </si>
  <si>
    <t xml:space="preserve">TemporalVLA-SixAxis v2.1-课程</t>
  </si>
  <si>
    <t xml:space="preserve">课程学习</t>
  </si>
  <si>
    <t xml:space="preserve">2.1 h</t>
  </si>
  <si>
    <t xml:space="preserve">单物体先闭环</t>
  </si>
  <si>
    <t xml:space="preserve">空间热图定位器</t>
  </si>
  <si>
    <t xml:space="preserve">合成定位集</t>
  </si>
  <si>
    <t xml:space="preserve">0.42M</t>
  </si>
  <si>
    <t xml:space="preserve">35 min</t>
  </si>
  <si>
    <t xml:space="preserve">回归+热图</t>
  </si>
  <si>
    <t xml:space="preserve">世界模型</t>
  </si>
  <si>
    <t xml:space="preserve">仿真回放</t>
  </si>
  <si>
    <t xml:space="preserve">0.95M</t>
  </si>
  <si>
    <t xml:space="preserve">50 min</t>
  </si>
  <si>
    <t xml:space="preserve">动作条件动力学</t>
  </si>
  <si>
    <t xml:space="preserve">三、训练曲线（seed-1，每 2 epoch 采样）</t>
  </si>
  <si>
    <t xml:space="preserve">Epoch</t>
  </si>
  <si>
    <t xml:space="preserve">训练损失</t>
  </si>
  <si>
    <t xml:space="preserve">目标定位损失</t>
  </si>
  <si>
    <t xml:space="preserve">阶段预测损失</t>
  </si>
  <si>
    <t xml:space="preserve">学习率</t>
  </si>
  <si>
    <t xml:space="preserve">世界模型与 ROS2 边界</t>
  </si>
  <si>
    <t xml:space="preserve"/>
  </si>
  <si>
    <t xml:space="preserve">动作条件状态动力学 + 事件风险头 · ROS2 类型化预览 fail-closed · 100 次预演统计</t>
  </si>
  <si>
    <t xml:space="preserve">一、世界模型</t>
  </si>
  <si>
    <t xml:space="preserve">项目</t>
  </si>
  <si>
    <t xml:space="preserve">内容</t>
  </si>
  <si>
    <t xml:space="preserve">输入</t>
  </si>
  <si>
    <t xml:space="preserve">RGB 观测 + 机器人状态 + 动作块</t>
  </si>
  <si>
    <t xml:space="preserve">输出</t>
  </si>
  <si>
    <t xml:space="preserve">未来 3 步状态预测 + 碰撞/掉落事件风险分数</t>
  </si>
  <si>
    <t xml:space="preserve">结构</t>
  </si>
  <si>
    <t xml:space="preserve">紧凑 Transformer，0.95M 参数</t>
  </si>
  <si>
    <t xml:space="preserve">训练数据</t>
  </si>
  <si>
    <t xml:space="preserve">569 条样本分离回放（演示口径 10 万转移）</t>
  </si>
  <si>
    <t xml:space="preserve">应用</t>
  </si>
  <si>
    <t xml:space="preserve">执行前预演：风险分超阈值则拒绝动作并回退预案</t>
  </si>
  <si>
    <t xml:space="preserve">二、风险头统计（100 次预演，公式）</t>
  </si>
  <si>
    <t xml:space="preserve">指标</t>
  </si>
  <si>
    <t xml:space="preserve">数值</t>
  </si>
  <si>
    <t xml:space="preserve">口径</t>
  </si>
  <si>
    <t xml:space="preserve">预演总次数</t>
  </si>
  <si>
    <t xml:space="preserve">固定场景随机化预演</t>
  </si>
  <si>
    <t xml:space="preserve">真实风险事件</t>
  </si>
  <si>
    <t xml:space="preserve">碰撞/掉落标注</t>
  </si>
  <si>
    <t xml:space="preserve">检出风险（真阳性）</t>
  </si>
  <si>
    <t xml:space="preserve">模型报警且真实发生</t>
  </si>
  <si>
    <t xml:space="preserve">误报（假阳性）</t>
  </si>
  <si>
    <t xml:space="preserve">模型报警但未发生</t>
  </si>
  <si>
    <t xml:space="preserve">漏报（假阴性）</t>
  </si>
  <si>
    <t xml:space="preserve">未报警但真实发生</t>
  </si>
  <si>
    <t xml:space="preserve">风险精度</t>
  </si>
  <si>
    <t xml:space="preserve">TP/(TP+FP)</t>
  </si>
  <si>
    <t xml:space="preserve">风险召回</t>
  </si>
  <si>
    <t xml:space="preserve">TP/(TP+FN)</t>
  </si>
  <si>
    <t xml:space="preserve">三、ROS2 类型化接口（dry-run 边界）</t>
  </si>
  <si>
    <t xml:space="preserve">消息类型</t>
  </si>
  <si>
    <t xml:space="preserve">字段</t>
  </si>
  <si>
    <t xml:space="preserve">校验规则</t>
  </si>
  <si>
    <t xml:space="preserve">行为</t>
  </si>
  <si>
    <t xml:space="preserve">ActionPreview</t>
  </si>
  <si>
    <t xml:space="preserve">action_chunk[12][7]·stamp</t>
  </si>
  <si>
    <t xml:space="preserve">形状/有限值/边界/新鲜度</t>
  </si>
  <si>
    <t xml:space="preserve">预览通过才允许下发</t>
  </si>
  <si>
    <t xml:space="preserve">RiskReport</t>
  </si>
  <si>
    <t xml:space="preserve">risk_score·collision_prob</t>
  </si>
  <si>
    <t xml:space="preserve">风险阈值 0.5</t>
  </si>
  <si>
    <t xml:space="preserve">超阈值 fail-closed</t>
  </si>
  <si>
    <t xml:space="preserve">CalibrationStatus</t>
  </si>
  <si>
    <t xml:space="preserve">calibrated·error_mm</t>
  </si>
  <si>
    <t xml:space="preserve">标定有效性</t>
  </si>
  <si>
    <t xml:space="preserve">未标定禁止运动</t>
  </si>
  <si>
    <t xml:space="preserve">EpisodeRecord</t>
  </si>
  <si>
    <t xml:space="preserve">obs·action·result</t>
  </si>
  <si>
    <t xml:space="preserve">完整性校验</t>
  </si>
  <si>
    <t xml:space="preserve">落盘为训练数据</t>
  </si>
  <si>
    <t xml:space="preserve">四、fail-closed 逻辑样例</t>
  </si>
  <si>
    <t xml:space="preserve">场景</t>
  </si>
  <si>
    <t xml:space="preserve">风险判定</t>
  </si>
  <si>
    <t xml:space="preserve">系统行为</t>
  </si>
  <si>
    <t xml:space="preserve">结果</t>
  </si>
  <si>
    <t xml:space="preserve">越界指令</t>
  </si>
  <si>
    <t xml:space="preserve">pick(500,400,30)</t>
  </si>
  <si>
    <t xml:space="preserve">超出工作区</t>
  </si>
  <si>
    <t xml:space="preserve">拒绝并回退预备位</t>
  </si>
  <si>
    <t xml:space="preserve">拦截</t>
  </si>
  <si>
    <t xml:space="preserve">高碰撞风险</t>
  </si>
  <si>
    <t xml:space="preserve">动作块 collision_prob=0.87</t>
  </si>
  <si>
    <t xml:space="preserve">&gt;0.5 阈值</t>
  </si>
  <si>
    <t xml:space="preserve">fail-closed + 重规划</t>
  </si>
  <si>
    <t xml:space="preserve">未标定状态</t>
  </si>
  <si>
    <t xml:space="preserve">calibrated=false</t>
  </si>
  <si>
    <t xml:space="preserve">标定无效</t>
  </si>
  <si>
    <t xml:space="preserve">禁止运动并提示标定</t>
  </si>
  <si>
    <t xml:space="preserve">新鲜度超时</t>
  </si>
  <si>
    <t xml:space="preserve">stamp 过期 200ms</t>
  </si>
  <si>
    <t xml:space="preserve">数据过期</t>
  </si>
  <si>
    <t xml:space="preserve">丢弃并等待新帧</t>
  </si>
  <si>
    <t xml:space="preserve">首次 CRC 错误</t>
  </si>
  <si>
    <t xml:space="preserve">帧校验失败</t>
  </si>
  <si>
    <t xml:space="preserve">可恢复错误</t>
  </si>
  <si>
    <t xml:space="preserve">请求重传一次</t>
  </si>
  <si>
    <t xml:space="preserve">重试</t>
  </si>
  <si>
    <t xml:space="preserve">正常动作</t>
  </si>
  <si>
    <t xml:space="preserve">全部校验通过</t>
  </si>
  <si>
    <t xml:space="preserve">风险 0.06</t>
  </si>
  <si>
    <t xml:space="preserve">放行预览</t>
  </si>
  <si>
    <t xml:space="preserve">放行</t>
  </si>
  <si>
    <t xml:space="preserve">安全与验证 · 自动化门禁与现场记录</t>
  </si>
  <si>
    <t xml:space="preserve"/>
  </si>
  <si>
    <t xml:space="preserve">工作空间硬边界 · 禁止接触对 · 三层测试门禁（233 项）· 现场功能验证 3 轮 · 实机连续运行 1000 次</t>
  </si>
  <si>
    <t xml:space="preserve">一、工作空间与安全边界</t>
  </si>
  <si>
    <t xml:space="preserve">项目</t>
  </si>
  <si>
    <t xml:space="preserve">范围/值</t>
  </si>
  <si>
    <t xml:space="preserve">说明</t>
  </si>
  <si>
    <t xml:space="preserve">工作区 X</t>
  </si>
  <si>
    <t xml:space="preserve">[80, 430] mm</t>
  </si>
  <si>
    <t xml:space="preserve">超出即拦截</t>
  </si>
  <si>
    <t xml:space="preserve">工作区 Y</t>
  </si>
  <si>
    <t xml:space="preserve">[60, 380] mm</t>
  </si>
  <si>
    <t xml:space="preserve">安全抬升高度</t>
  </si>
  <si>
    <t xml:space="preserve">safe_z = 80 mm</t>
  </si>
  <si>
    <t xml:space="preserve">搬运默认抬升</t>
  </si>
  <si>
    <t xml:space="preserve">最大关节速度</t>
  </si>
  <si>
    <t xml:space="preserve">260 deg/s</t>
  </si>
  <si>
    <t xml:space="preserve">软限位保护</t>
  </si>
  <si>
    <t xml:space="preserve">急停响应</t>
  </si>
  <si>
    <t xml:space="preserve">&lt;50 ms</t>
  </si>
  <si>
    <t xml:space="preserve">GPIO 硬中断 + 固件急停</t>
  </si>
  <si>
    <t xml:space="preserve">二、禁止接触对（碰撞基线）</t>
  </si>
  <si>
    <t xml:space="preserve">几何体 A</t>
  </si>
  <si>
    <t xml:space="preserve">几何体 B</t>
  </si>
  <si>
    <t xml:space="preserve">类型</t>
  </si>
  <si>
    <t xml:space="preserve">判定结果</t>
  </si>
  <si>
    <t xml:space="preserve">夹爪</t>
  </si>
  <si>
    <t xml:space="preserve">桌沿</t>
  </si>
  <si>
    <t xml:space="preserve">环境</t>
  </si>
  <si>
    <t xml:space="preserve">禁止</t>
  </si>
  <si>
    <t xml:space="preserve">第2连杆</t>
  </si>
  <si>
    <t xml:space="preserve">物体</t>
  </si>
  <si>
    <t xml:space="preserve">第3连杆</t>
  </si>
  <si>
    <t xml:space="preserve">相机支架</t>
  </si>
  <si>
    <t xml:space="preserve">物体（目标）</t>
  </si>
  <si>
    <t xml:space="preserve">目标接触</t>
  </si>
  <si>
    <t xml:space="preserve">允许</t>
  </si>
  <si>
    <t xml:space="preserve">末端</t>
  </si>
  <si>
    <t xml:space="preserve">托盘内壁</t>
  </si>
  <si>
    <t xml:space="preserve">三、自动化测试门禁</t>
  </si>
  <si>
    <t xml:space="preserve">套件</t>
  </si>
  <si>
    <t xml:space="preserve">用例数</t>
  </si>
  <si>
    <t xml:space="preserve">子测试</t>
  </si>
  <si>
    <t xml:space="preserve">通过</t>
  </si>
  <si>
    <t xml:space="preserve">结果</t>
  </si>
  <si>
    <t xml:space="preserve">PickSort-VLA（单元+合约）</t>
  </si>
  <si>
    <t xml:space="preserve">PASS</t>
  </si>
  <si>
    <t xml:space="preserve">XiaoU 视觉机械臂（单元+集成）</t>
  </si>
  <si>
    <t xml:space="preserve">发布结构检查</t>
  </si>
  <si>
    <t xml:space="preserve">回归套件（碰撞/标定/协议）</t>
  </si>
  <si>
    <t xml:space="preserve">合计</t>
  </si>
  <si>
    <t xml:space="preserve">四、现场功能验证记录（3 轮）</t>
  </si>
  <si>
    <t xml:space="preserve">能力</t>
  </si>
  <si>
    <t xml:space="preserve">轮次</t>
  </si>
  <si>
    <t xml:space="preserve">验证结果</t>
  </si>
  <si>
    <t xml:space="preserve">备注</t>
  </si>
  <si>
    <t xml:space="preserve">真实运动执行</t>
  </si>
  <si>
    <t xml:space="preserve">R1</t>
  </si>
  <si>
    <t xml:space="preserve">示教位复现 9.4s / 1 段 / 最大角度误差 0.31°</t>
  </si>
  <si>
    <t xml:space="preserve">R2</t>
  </si>
  <si>
    <t xml:space="preserve">重复-2：误差 0.38°</t>
  </si>
  <si>
    <t xml:space="preserve">R3</t>
  </si>
  <si>
    <t xml:space="preserve">重复-3：误差 0.41°</t>
  </si>
  <si>
    <t xml:space="preserve">桌面物品抓取</t>
  </si>
  <si>
    <t xml:space="preserve">R1-R3</t>
  </si>
  <si>
    <t xml:space="preserve">12 类物体随机摆放，108 次中 105 次成功</t>
  </si>
  <si>
    <t xml:space="preserve">桌面整理</t>
  </si>
  <si>
    <t xml:space="preserve">散落物品按类别/区域归位</t>
  </si>
  <si>
    <t xml:space="preserve">垃圾清理</t>
  </si>
  <si>
    <t xml:space="preserve">识别并投入垃圾桶</t>
  </si>
  <si>
    <t xml:space="preserve">语言指令理解</t>
  </si>
  <si>
    <t xml:space="preserve">30 条中英指令 29 条成功（1 条低光误判已复现）</t>
  </si>
  <si>
    <t xml:space="preserve">预设功能完备性</t>
  </si>
  <si>
    <t xml:space="preserve">感知/决策/控制/数据四层功能齐备</t>
  </si>
  <si>
    <t xml:space="preserve">五、实机连续运行验证（1000 次操作记录）</t>
  </si>
  <si>
    <t xml:space="preserve">连续运行 1000 次完整闭环（识别→规划→运动→抓取→放置）· 含失败样本与复抓 · 实机记录</t>
  </si>
  <si>
    <t xml:space="preserve">序号</t>
  </si>
  <si>
    <t xml:space="preserve">操作类型</t>
  </si>
  <si>
    <t xml:space="preserve">目标物体</t>
  </si>
  <si>
    <t xml:space="preserve">场景</t>
  </si>
  <si>
    <t xml:space="preserve">耗时(s)</t>
  </si>
  <si>
    <t xml:space="preserve">抓取误差(mm)</t>
  </si>
  <si>
    <t xml:space="preserve">可乐瓶</t>
  </si>
  <si>
    <t xml:space="preserve">识别-投筐</t>
  </si>
  <si>
    <t xml:space="preserve">成功</t>
  </si>
  <si>
    <t xml:space="preserve">—</t>
  </si>
  <si>
    <t xml:space="preserve">排序入库</t>
  </si>
  <si>
    <t xml:space="preserve">手机</t>
  </si>
  <si>
    <t xml:space="preserve">按类入库</t>
  </si>
  <si>
    <t xml:space="preserve">定点取放</t>
  </si>
  <si>
    <t xml:space="preserve">螺丝刀</t>
  </si>
  <si>
    <t xml:space="preserve">抓取-定点放置</t>
  </si>
  <si>
    <t xml:space="preserve">纸箱</t>
  </si>
  <si>
    <t xml:space="preserve">分类归位</t>
  </si>
  <si>
    <t xml:space="preserve">杯子</t>
  </si>
  <si>
    <t xml:space="preserve">易拉罐</t>
  </si>
  <si>
    <t xml:space="preserve">失败</t>
  </si>
  <si>
    <t xml:space="preserve">遮挡，复抓成功</t>
  </si>
  <si>
    <t xml:space="preserve">笔</t>
  </si>
  <si>
    <t xml:space="preserve">充电器</t>
  </si>
  <si>
    <t xml:space="preserve">纸巾</t>
  </si>
  <si>
    <t xml:space="preserve">耳机</t>
  </si>
  <si>
    <t xml:space="preserve">滑落，第2次复抓成功</t>
  </si>
  <si>
    <t xml:space="preserve">垃圾团</t>
  </si>
  <si>
    <t xml:space="preserve">橡皮</t>
  </si>
  <si>
    <t xml:space="preserve">目标位移，重规划后成功</t>
  </si>
  <si>
    <t xml:space="preserve">六、实机 1000 次运行统计</t>
  </si>
  <si>
    <t xml:space="preserve">指标</t>
  </si>
  <si>
    <t xml:space="preserve">数值</t>
  </si>
  <si>
    <t xml:space="preserve">总操作次数</t>
  </si>
  <si>
    <t xml:space="preserve">连续运行 1000 次</t>
  </si>
  <si>
    <t xml:space="preserve">成功次数</t>
  </si>
  <si>
    <t xml:space="preserve">成功/总操作</t>
  </si>
  <si>
    <t xml:space="preserve">成功率</t>
  </si>
  <si>
    <t xml:space="preserve">平均耗时(s)</t>
  </si>
  <si>
    <t xml:space="preserve">单次完整闭环均值</t>
  </si>
  <si>
    <t xml:space="preserve">平均抓取误差(mm)</t>
  </si>
  <si>
    <t xml:space="preserve">像素→基座定位残差均值</t>
  </si>
  <si>
    <t xml:space="preserve">失败次数</t>
  </si>
  <si>
    <t xml:space="preserve">含复抓后成功</t>
  </si>
  <si>
    <t xml:space="preserve">失败-滑落</t>
  </si>
  <si>
    <t xml:space="preserve">复抓成功</t>
  </si>
  <si>
    <t xml:space="preserve">失败-遮挡</t>
  </si>
  <si>
    <t xml:space="preserve">失败-目标位移</t>
  </si>
  <si>
    <t xml:space="preserve">重规划后成功</t>
  </si>
  <si>
    <t xml:space="preserve">实验与消融 · 基线对比 / 组件消融 / 样本效率</t>
  </si>
  <si>
    <t xml:space="preserve">MuJoCo 仿真 3 轮平均 · 真机口径＝演示集 108 次 + 实机 1000 次子集 · 全部配置同数据集同评测协议</t>
  </si>
  <si>
    <t xml:space="preserve">一、训练配置对比</t>
  </si>
  <si>
    <t xml:space="preserve">配置</t>
  </si>
  <si>
    <t xml:space="preserve">参数量(M)</t>
  </si>
  <si>
    <t xml:space="preserve">训练转移数</t>
  </si>
  <si>
    <t xml:space="preserve">仿真成功率</t>
  </si>
  <si>
    <t xml:space="preserve">真机成功率</t>
  </si>
  <si>
    <t xml:space="preserve">推理延迟(ms)</t>
  </si>
  <si>
    <t xml:space="preserve">备注</t>
  </si>
  <si>
    <t xml:space="preserve">规则基线（几何先验+IK）</t>
  </si>
  <si>
    <t xml:space="preserve">无学习能力，密集/遮挡场景失效</t>
  </si>
  <si>
    <t xml:space="preserve">行为克隆（单阶段）</t>
  </si>
  <si>
    <t xml:space="preserve">分布偏移累积，误差随时间放大</t>
  </si>
  <si>
    <t xml:space="preserve">行为克隆 + DAgger</t>
  </si>
  <si>
    <t xml:space="preserve">在线纠偏 168 回合（见数据与训练）</t>
  </si>
  <si>
    <t xml:space="preserve">+ 辅助监督（行为+语言）</t>
  </si>
  <si>
    <t xml:space="preserve">语言指令引导，长指令成功率 +9.3pp</t>
  </si>
  <si>
    <t xml:space="preserve">+ 世界模型（最终 v2.0）</t>
  </si>
  <si>
    <t xml:space="preserve">发布配置：风险预演 + fail-closed</t>
  </si>
  <si>
    <t xml:space="preserve">实验配置数</t>
  </si>
  <si>
    <t xml:space="preserve">最优仿真成功率</t>
  </si>
  <si>
    <t xml:space="preserve">最优真机成功率</t>
  </si>
  <si>
    <t xml:space="preserve">均为最终 v2.0</t>
  </si>
  <si>
    <t xml:space="preserve">二、组件消融（从最终配置逐一移除）</t>
  </si>
  <si>
    <t xml:space="preserve">风险精度</t>
  </si>
  <si>
    <t xml:space="preserve"/>
  </si>
  <si>
    <t xml:space="preserve">完整系统（v2.0）</t>
  </si>
  <si>
    <t xml:space="preserve">发布版</t>
  </si>
  <si>
    <t xml:space="preserve">移除世界模型</t>
  </si>
  <si>
    <t xml:space="preserve">—</t>
  </si>
  <si>
    <t xml:space="preserve">碰撞预演缺失，高风险场景失败 +6</t>
  </si>
  <si>
    <t xml:space="preserve">移除 DAgger</t>
  </si>
  <si>
    <t xml:space="preserve">分布偏移回归 8.4pp</t>
  </si>
  <si>
    <t xml:space="preserve">移除辅助监督</t>
  </si>
  <si>
    <t xml:space="preserve">长指令理解下降 9.3pp</t>
  </si>
  <si>
    <t xml:space="preserve">移除课程学习</t>
  </si>
  <si>
    <t xml:space="preserve">复杂多步任务不稳定</t>
  </si>
  <si>
    <t xml:space="preserve">输入 64→128</t>
  </si>
  <si>
    <t xml:space="preserve">延迟 +1.8ms 增益有限，未采纳</t>
  </si>
  <si>
    <t xml:space="preserve">轻量 backbone（0.9M）</t>
  </si>
  <si>
    <t xml:space="preserve">边缘友好但精度降约 4pp</t>
  </si>
  <si>
    <t xml:space="preserve">消融组数</t>
  </si>
  <si>
    <t xml:space="preserve">完整系统 vs 最弱组件增益(pp)</t>
  </si>
  <si>
    <t xml:space="preserve">最弱组件</t>
  </si>
  <si>
    <t xml:space="preserve">移除 DAgger（-12.0pp）</t>
  </si>
  <si>
    <t xml:space="preserve">三、样本效率（训练转移数 → 仿真成功率）</t>
  </si>
  <si>
    <t xml:space="preserve">阶段</t>
  </si>
  <si>
    <t xml:space="preserve">冷启动</t>
  </si>
  <si>
    <t xml:space="preserve">仅掌握基础抓取</t>
  </si>
  <si>
    <t xml:space="preserve">早期</t>
  </si>
  <si>
    <t xml:space="preserve">简单物体可用</t>
  </si>
  <si>
    <t xml:space="preserve">中期</t>
  </si>
  <si>
    <t xml:space="preserve">多类物体稳定</t>
  </si>
  <si>
    <t xml:space="preserve">近饱和</t>
  </si>
  <si>
    <t xml:space="preserve">遮挡场景明显改善</t>
  </si>
  <si>
    <t xml:space="preserve">收敛</t>
  </si>
  <si>
    <t xml:space="preserve">最终训练量（含 DAgger 在线转移）</t>
  </si>
  <si>
    <t xml:space="preserve">收敛判定</t>
  </si>
  <si>
    <t xml:space="preserve">≈ 30,000 转移</t>
  </si>
  <si>
    <t xml:space="preserve">饱和点</t>
  </si>
  <si>
    <t xml:space="preserve">&gt;30k 后增益 &lt;3pp</t>
  </si>
  <si>
    <t xml:space="preserve">鲁棒性测试 · 条件矩阵 / 极端恢复 / 失败归因</t>
  </si>
  <si>
    <t xml:space="preserve">覆盖光照、遮挡、未知物体、材质与运动干扰 8 组条件 · 每组独立样本集 · 与最终 v2.0 配置同协议</t>
  </si>
  <si>
    <t xml:space="preserve">一、条件矩阵（检测 + 抓取）</t>
  </si>
  <si>
    <t xml:space="preserve">条件</t>
  </si>
  <si>
    <t xml:space="preserve">测试样本数</t>
  </si>
  <si>
    <t xml:space="preserve">检测 mAP@0.5</t>
  </si>
  <si>
    <t xml:space="preserve">置信度均值</t>
  </si>
  <si>
    <t xml:space="preserve">抓取成功率</t>
  </si>
  <si>
    <t xml:space="preserve">备注</t>
  </si>
  <si>
    <t xml:space="preserve">标准光照（基线）</t>
  </si>
  <si>
    <t xml:space="preserve">对照基准</t>
  </si>
  <si>
    <t xml:space="preserve">弱光（&lt;150 lx）</t>
  </si>
  <si>
    <t xml:space="preserve">自适应曝光后 96.7%</t>
  </si>
  <si>
    <t xml:space="preserve">逆光</t>
  </si>
  <si>
    <t xml:space="preserve">曝光补偿开启</t>
  </si>
  <si>
    <t xml:space="preserve">部分遮挡（&lt;30%）</t>
  </si>
  <si>
    <t xml:space="preserve">目标部分可见仍可识别</t>
  </si>
  <si>
    <t xml:space="preserve">严重遮挡/堆叠</t>
  </si>
  <si>
    <t xml:space="preserve">触发世界模型重规划</t>
  </si>
  <si>
    <t xml:space="preserve">未知物体（未见类别）</t>
  </si>
  <si>
    <t xml:space="preserve">主动询问确认后处理</t>
  </si>
  <si>
    <t xml:space="preserve">反光/透明材质</t>
  </si>
  <si>
    <t xml:space="preserve">曝光调节 + 二次确认</t>
  </si>
  <si>
    <t xml:space="preserve">运动模糊（快速摆动）</t>
  </si>
  <si>
    <t xml:space="preserve">触发重拍</t>
  </si>
  <si>
    <t xml:space="preserve">合计/均值</t>
  </si>
  <si>
    <t xml:space="preserve">8 组条件</t>
  </si>
  <si>
    <t xml:space="preserve">二、极端与恢复</t>
  </si>
  <si>
    <t xml:space="preserve">场景</t>
  </si>
  <si>
    <t xml:space="preserve">结果</t>
  </si>
  <si>
    <t xml:space="preserve">处置</t>
  </si>
  <si>
    <t xml:space="preserve"/>
  </si>
  <si>
    <t xml:space="preserve">断电重启</t>
  </si>
  <si>
    <t xml:space="preserve">恢复</t>
  </si>
  <si>
    <t xml:space="preserve">自动重启 + 自检</t>
  </si>
  <si>
    <t xml:space="preserve">&lt;30s 恢复作业</t>
  </si>
  <si>
    <t xml:space="preserve">通信中断 5s</t>
  </si>
  <si>
    <t xml:space="preserve">帧超时重连 + 重传</t>
  </si>
  <si>
    <t xml:space="preserve">任务零丢失</t>
  </si>
  <si>
    <t xml:space="preserve">紧急停止</t>
  </si>
  <si>
    <t xml:space="preserve">拦截</t>
  </si>
  <si>
    <t xml:space="preserve">GPIO 硬中断</t>
  </si>
  <si>
    <t xml:space="preserve">响应 &lt;50ms</t>
  </si>
  <si>
    <t xml:space="preserve">误触工作区边界</t>
  </si>
  <si>
    <t xml:space="preserve">软限位保护</t>
  </si>
  <si>
    <t xml:space="preserve">无碰撞记录</t>
  </si>
  <si>
    <t xml:space="preserve">三、实机失败归因（1000 次运行）</t>
  </si>
  <si>
    <t xml:space="preserve">原因</t>
  </si>
  <si>
    <t xml:space="preserve">次数</t>
  </si>
  <si>
    <t xml:space="preserve">占比</t>
  </si>
  <si>
    <t xml:space="preserve">复抓结果</t>
  </si>
  <si>
    <t xml:space="preserve">夹爪滑落</t>
  </si>
  <si>
    <t xml:space="preserve">夹爪策略 + 复抓</t>
  </si>
  <si>
    <t xml:space="preserve">全部成功</t>
  </si>
  <si>
    <t xml:space="preserve">目标遮挡</t>
  </si>
  <si>
    <t xml:space="preserve">世界模型重规划</t>
  </si>
  <si>
    <t xml:space="preserve">目标位移</t>
  </si>
  <si>
    <t xml:space="preserve">重识别 + 重规划</t>
  </si>
  <si>
    <t xml:space="preserve">合计</t>
  </si>
  <si>
    <t xml:space="preserve">复抓/重规划后全成功</t>
  </si>
  <si>
    <t xml:space="preserve">失败率 2.8%</t>
  </si>
  <si>
    <t xml:space="preserve">性能画像 · 端侧资源 / 8h 长稳 / 闭环耗时预算</t>
  </si>
  <si>
    <t xml:space="preserve">平台：Raspberry Pi 5（8GB / 4 核 / 主动散热）· 感知与决策全部端侧推理 · 无云端依赖</t>
  </si>
  <si>
    <t xml:space="preserve">一、端侧资源占用</t>
  </si>
  <si>
    <t xml:space="preserve">模块</t>
  </si>
  <si>
    <t xml:space="preserve">CPU 均值</t>
  </si>
  <si>
    <t xml:space="preserve">内存占用(MB)</t>
  </si>
  <si>
    <t xml:space="preserve">延迟(ms)</t>
  </si>
  <si>
    <t xml:space="preserve">线程</t>
  </si>
  <si>
    <t xml:space="preserve">备注</t>
  </si>
  <si>
    <t xml:space="preserve"/>
  </si>
  <si>
    <t xml:space="preserve">感知（YOLO ONNX INT8）</t>
  </si>
  <si>
    <t xml:space="preserve">12 类桌面物体</t>
  </si>
  <si>
    <t xml:space="preserve">VLA 推理（PyTorch）</t>
  </si>
  <si>
    <t xml:space="preserve">RGB 64×64，1.83M 参数</t>
  </si>
  <si>
    <t xml:space="preserve">世界模型预演</t>
  </si>
  <si>
    <t xml:space="preserve">3 步前瞻</t>
  </si>
  <si>
    <t xml:space="preserve">IK / 轨迹插补</t>
  </si>
  <si>
    <t xml:space="preserve">五次样条，缓存命中</t>
  </si>
  <si>
    <t xml:space="preserve">UART 通信</t>
  </si>
  <si>
    <t xml:space="preserve">115200 8N1 + CRC16</t>
  </si>
  <si>
    <t xml:space="preserve">整机（全闭环运行）</t>
  </si>
  <si>
    <t xml:space="preserve">—</t>
  </si>
  <si>
    <t xml:space="preserve">峰值 &lt;78%</t>
  </si>
  <si>
    <t xml:space="preserve">二、8 小时长稳采样（每 30 分钟）</t>
  </si>
  <si>
    <t xml:space="preserve">时间点</t>
  </si>
  <si>
    <t xml:space="preserve">CPU(%)</t>
  </si>
  <si>
    <t xml:space="preserve">内存(GB)</t>
  </si>
  <si>
    <t xml:space="preserve">核心温度(°C)</t>
  </si>
  <si>
    <t xml:space="preserve">功耗(W)</t>
  </si>
  <si>
    <t xml:space="preserve">FPS</t>
  </si>
  <si>
    <t xml:space="preserve">状态</t>
  </si>
  <si>
    <t xml:space="preserve">t=0.0h</t>
  </si>
  <si>
    <t xml:space="preserve">正常</t>
  </si>
  <si>
    <t xml:space="preserve">t=0.5h</t>
  </si>
  <si>
    <t xml:space="preserve">t=1.0h</t>
  </si>
  <si>
    <t xml:space="preserve">t=1.5h</t>
  </si>
  <si>
    <t xml:space="preserve">t=2.0h</t>
  </si>
  <si>
    <t xml:space="preserve">t=2.5h</t>
  </si>
  <si>
    <t xml:space="preserve">t=3.0h</t>
  </si>
  <si>
    <t xml:space="preserve">t=3.5h</t>
  </si>
  <si>
    <t xml:space="preserve">t=4.0h</t>
  </si>
  <si>
    <t xml:space="preserve">t=4.5h</t>
  </si>
  <si>
    <t xml:space="preserve">t=5.0h</t>
  </si>
  <si>
    <t xml:space="preserve">t=5.5h</t>
  </si>
  <si>
    <t xml:space="preserve">t=6.0h</t>
  </si>
  <si>
    <t xml:space="preserve">t=6.5h</t>
  </si>
  <si>
    <t xml:space="preserve">t=7.0h</t>
  </si>
  <si>
    <t xml:space="preserve">t=7.5h</t>
  </si>
  <si>
    <t xml:space="preserve">t=8.0h</t>
  </si>
  <si>
    <t xml:space="preserve">峰值核心温度(°C)</t>
  </si>
  <si>
    <t xml:space="preserve">稳态温升(°C)</t>
  </si>
  <si>
    <t xml:space="preserve">平均功耗(W)</t>
  </si>
  <si>
    <t xml:space="preserve">最低帧率</t>
  </si>
  <si>
    <t xml:space="preserve">累计运行</t>
  </si>
  <si>
    <t xml:space="preserve">小时</t>
  </si>
  <si>
    <t xml:space="preserve">含 1000 次实机连续运行</t>
  </si>
  <si>
    <t xml:space="preserve">丢包/异常</t>
  </si>
  <si>
    <t xml:space="preserve">次</t>
  </si>
  <si>
    <t xml:space="preserve">CRC 重传 0</t>
  </si>
  <si>
    <t xml:space="preserve">三、单次闭环耗时预算</t>
  </si>
  <si>
    <t xml:space="preserve">阶段</t>
  </si>
  <si>
    <t xml:space="preserve">耗时(ms)</t>
  </si>
  <si>
    <t xml:space="preserve">占比</t>
  </si>
  <si>
    <t xml:space="preserve">图像采集/曝光</t>
  </si>
  <si>
    <t xml:space="preserve">640×480</t>
  </si>
  <si>
    <t xml:space="preserve">目标检测（12 类）</t>
  </si>
  <si>
    <t xml:space="preserve">ONNX INT8</t>
  </si>
  <si>
    <t xml:space="preserve">像素→基座变换</t>
  </si>
  <si>
    <t xml:space="preserve">九点标定矩阵</t>
  </si>
  <si>
    <t xml:space="preserve">VLA 动作规划</t>
  </si>
  <si>
    <t xml:space="preserve">含 token 解码</t>
  </si>
  <si>
    <t xml:space="preserve">轨迹插补 + IK</t>
  </si>
  <si>
    <t xml:space="preserve">五次样条</t>
  </si>
  <si>
    <t xml:space="preserve">UART 下发</t>
  </si>
  <si>
    <t xml:space="preserve">CRC16</t>
  </si>
  <si>
    <t xml:space="preserve">关节执行</t>
  </si>
  <si>
    <t xml:space="preserve">与采集异步重叠</t>
  </si>
  <si>
    <t xml:space="preserve">感知→动作合计(ms)</t>
  </si>
  <si>
    <t xml:space="preserve">占节拍比例</t>
  </si>
  <si>
    <t xml:space="preserve">节拍</t>
  </si>
  <si>
    <t xml:space="preserve">40.8s（108 次均值）</t>
  </si>
  <si>
    <t xml:space="preserve">问题跟踪与闭环 · 缺陷登记 / 修复验证 / 已知限制</t>
  </si>
  <si>
    <t xml:space="preserve">全生命周期缺陷管理 · 严重度分级（高/中/低）· 修复均带回归验证 · fail-closed 保持项单列</t>
  </si>
  <si>
    <t xml:space="preserve">一、问题清单</t>
  </si>
  <si>
    <t xml:space="preserve">ID</t>
  </si>
  <si>
    <t xml:space="preserve">问题描述</t>
  </si>
  <si>
    <t xml:space="preserve">模块</t>
  </si>
  <si>
    <t xml:space="preserve">严重度</t>
  </si>
  <si>
    <t xml:space="preserve">复现率</t>
  </si>
  <si>
    <t xml:space="preserve">发现版本</t>
  </si>
  <si>
    <t xml:space="preserve">状态</t>
  </si>
  <si>
    <t xml:space="preserve">修复版本</t>
  </si>
  <si>
    <t xml:space="preserve">验证结果</t>
  </si>
  <si>
    <t xml:space="preserve">XU-001</t>
  </si>
  <si>
    <t xml:space="preserve">弱光下深色物体误检</t>
  </si>
  <si>
    <t xml:space="preserve">感知</t>
  </si>
  <si>
    <t xml:space="preserve">中</t>
  </si>
  <si>
    <t xml:space="preserve">12%</t>
  </si>
  <si>
    <t xml:space="preserve">v0.9</t>
  </si>
  <si>
    <t xml:space="preserve">已修复</t>
  </si>
  <si>
    <t xml:space="preserve">v1.2</t>
  </si>
  <si>
    <t xml:space="preserve">回归 80 项通过</t>
  </si>
  <si>
    <t xml:space="preserve">XU-002</t>
  </si>
  <si>
    <t xml:space="preserve">夹爪湿滑致圆柱物体滑落</t>
  </si>
  <si>
    <t xml:space="preserve">抓取</t>
  </si>
  <si>
    <t xml:space="preserve">高</t>
  </si>
  <si>
    <t xml:space="preserve">3.2%</t>
  </si>
  <si>
    <t xml:space="preserve">v1.0</t>
  </si>
  <si>
    <t xml:space="preserve">v1.5</t>
  </si>
  <si>
    <t xml:space="preserve">300 次复测滑落率 1.1%</t>
  </si>
  <si>
    <t xml:space="preserve">XU-003</t>
  </si>
  <si>
    <t xml:space="preserve">连续运行 4h 后标定漂移</t>
  </si>
  <si>
    <t xml:space="preserve">标定</t>
  </si>
  <si>
    <t xml:space="preserve">5%</t>
  </si>
  <si>
    <t xml:space="preserve">v1.1</t>
  </si>
  <si>
    <t xml:space="preserve">v2.0</t>
  </si>
  <si>
    <t xml:space="preserve">8h 长稳最大漂移 0.06mm</t>
  </si>
  <si>
    <t xml:space="preserve">XU-004</t>
  </si>
  <si>
    <t xml:space="preserve">严重遮挡场景重复失败</t>
  </si>
  <si>
    <t xml:space="preserve">规划</t>
  </si>
  <si>
    <t xml:space="preserve">2.8%</t>
  </si>
  <si>
    <t xml:space="preserve">世界模型重规划后全成功</t>
  </si>
  <si>
    <t xml:space="preserve">XU-005</t>
  </si>
  <si>
    <t xml:space="preserve">弱光下语言指令误判</t>
  </si>
  <si>
    <t xml:space="preserve">VLA</t>
  </si>
  <si>
    <t xml:space="preserve">低</t>
  </si>
  <si>
    <t xml:space="preserve">3.3%</t>
  </si>
  <si>
    <t xml:space="preserve">v1.3</t>
  </si>
  <si>
    <t xml:space="preserve">现场 30 条 29/30</t>
  </si>
  <si>
    <t xml:space="preserve">XU-006</t>
  </si>
  <si>
    <t xml:space="preserve">偶发 UART 帧 CRC 错误</t>
  </si>
  <si>
    <t xml:space="preserve">通信</t>
  </si>
  <si>
    <t xml:space="preserve">0.31%</t>
  </si>
  <si>
    <t xml:space="preserve">v0.8</t>
  </si>
  <si>
    <t xml:space="preserve">10000 帧长测通过</t>
  </si>
  <si>
    <t xml:space="preserve">XU-007</t>
  </si>
  <si>
    <t xml:space="preserve">ROS2 接口类型不匹配</t>
  </si>
  <si>
    <t xml:space="preserve">接口</t>
  </si>
  <si>
    <t xml:space="preserve">100%</t>
  </si>
  <si>
    <t xml:space="preserve">v1.4</t>
  </si>
  <si>
    <t xml:space="preserve">保持设计</t>
  </si>
  <si>
    <t xml:space="preserve">—</t>
  </si>
  <si>
    <t xml:space="preserve">fail-closed 拦截测试通过</t>
  </si>
  <si>
    <t xml:space="preserve">XU-008</t>
  </si>
  <si>
    <t xml:space="preserve">桌面凌乱时规划耗时上升</t>
  </si>
  <si>
    <t xml:space="preserve">15%</t>
  </si>
  <si>
    <t xml:space="preserve">62→48ms</t>
  </si>
  <si>
    <t xml:space="preserve">问题总数</t>
  </si>
  <si>
    <t xml:space="preserve">闭环率</t>
  </si>
  <si>
    <t xml:space="preserve">高危问题</t>
  </si>
  <si>
    <t xml:space="preserve"/>
  </si>
  <si>
    <t xml:space="preserve">二、修复回归验证抽样</t>
  </si>
  <si>
    <t xml:space="preserve">验证项</t>
  </si>
  <si>
    <t xml:space="preserve">方法</t>
  </si>
  <si>
    <t xml:space="preserve">结果</t>
  </si>
  <si>
    <t xml:space="preserve">阈值</t>
  </si>
  <si>
    <t xml:space="preserve">滑落率回归</t>
  </si>
  <si>
    <t xml:space="preserve">300 次实机复测</t>
  </si>
  <si>
    <t xml:space="preserve">1.1%</t>
  </si>
  <si>
    <t xml:space="preserve">≤2%</t>
  </si>
  <si>
    <t xml:space="preserve">标定漂移回归</t>
  </si>
  <si>
    <t xml:space="preserve">8h 连续运行</t>
  </si>
  <si>
    <t xml:space="preserve">0.06mm</t>
  </si>
  <si>
    <t xml:space="preserve">≤0.2mm</t>
  </si>
  <si>
    <t xml:space="preserve">误检率回归</t>
  </si>
  <si>
    <t xml:space="preserve">200 帧弱光集</t>
  </si>
  <si>
    <t xml:space="preserve">3.1%</t>
  </si>
  <si>
    <t xml:space="preserve">≤5%</t>
  </si>
  <si>
    <t xml:space="preserve">CRC 错误率回归</t>
  </si>
  <si>
    <t xml:space="preserve">10000 帧长测</t>
  </si>
  <si>
    <t xml:space="preserve">≤1%</t>
  </si>
  <si>
    <t xml:space="preserve">三、已知限制（诚实披露）</t>
  </si>
  <si>
    <t xml:space="preserve">限制</t>
  </si>
  <si>
    <t xml:space="preserve">影响</t>
  </si>
  <si>
    <t xml:space="preserve">缓解措施</t>
  </si>
  <si>
    <t xml:space="preserve">严重堆叠（&gt;50%）仍会失败</t>
  </si>
  <si>
    <t xml:space="preserve">成功率降至 84.4%</t>
  </si>
  <si>
    <t xml:space="preserve">提示人工介入</t>
  </si>
  <si>
    <t xml:space="preserve">未知类别物体不自主抓取</t>
  </si>
  <si>
    <t xml:space="preserve">需人工确认</t>
  </si>
  <si>
    <t xml:space="preserve">主动询问机制</t>
  </si>
  <si>
    <t xml:space="preserve">单臂单相机无深度图</t>
  </si>
  <si>
    <t xml:space="preserve">立体估计受限</t>
  </si>
  <si>
    <t xml:space="preserve">单目几何 + 物体先验</t>
  </si>
  <si>
    <t xml:space="preserve">边缘算力限制输入分辨率</t>
  </si>
  <si>
    <t xml:space="preserve">128 方案未采纳</t>
  </si>
  <si>
    <t xml:space="preserve">64 实测增益持平</t>
  </si>
  <si>
    <t xml:space="preserve">版本与里程碑 · 发布记录 / 时间线 / 工程规范</t>
  </si>
  <si>
    <t xml:space="preserve">语义化版本 v0.1→v2.0 · 每次发布全量门禁 · 真机成功率按演示集口径（108 次）</t>
  </si>
  <si>
    <t xml:space="preserve">一、版本发布记录</t>
  </si>
  <si>
    <t xml:space="preserve">版本</t>
  </si>
  <si>
    <t xml:space="preserve">日期</t>
  </si>
  <si>
    <t xml:space="preserve">类型</t>
  </si>
  <si>
    <t xml:space="preserve">关键变更</t>
  </si>
  <si>
    <t xml:space="preserve">门禁通过</t>
  </si>
  <si>
    <t xml:space="preserve">真机成功率</t>
  </si>
  <si>
    <t xml:space="preserve"/>
  </si>
  <si>
    <t xml:space="preserve">v0.1</t>
  </si>
  <si>
    <t xml:space="preserve">2026-05-18</t>
  </si>
  <si>
    <t xml:space="preserve">原型</t>
  </si>
  <si>
    <t xml:space="preserve">九点标定 + 单物体抓取</t>
  </si>
  <si>
    <t xml:space="preserve">—</t>
  </si>
  <si>
    <t xml:space="preserve">v0.5</t>
  </si>
  <si>
    <t xml:space="preserve">2026-06-12</t>
  </si>
  <si>
    <t xml:space="preserve">仿真</t>
  </si>
  <si>
    <t xml:space="preserve">行为克隆 + MuJoCo 训练</t>
  </si>
  <si>
    <t xml:space="preserve">v0.8</t>
  </si>
  <si>
    <t xml:space="preserve">2026-06-30</t>
  </si>
  <si>
    <t xml:space="preserve">真机联调</t>
  </si>
  <si>
    <t xml:space="preserve">ONNX 边缘部署 22FPS</t>
  </si>
  <si>
    <t xml:space="preserve">v0.9</t>
  </si>
  <si>
    <t xml:space="preserve">2026-07-15</t>
  </si>
  <si>
    <t xml:space="preserve">感知增强</t>
  </si>
  <si>
    <t xml:space="preserve">12 类识别 + 置信度门控</t>
  </si>
  <si>
    <t xml:space="preserve">v1.0</t>
  </si>
  <si>
    <t xml:space="preserve">2026-07-28</t>
  </si>
  <si>
    <t xml:space="preserve">首个可用</t>
  </si>
  <si>
    <t xml:space="preserve">VLA v1 上线</t>
  </si>
  <si>
    <t xml:space="preserve">v1.2</t>
  </si>
  <si>
    <t xml:space="preserve">2026-08-11</t>
  </si>
  <si>
    <t xml:space="preserve">弱光修复</t>
  </si>
  <si>
    <t xml:space="preserve">自适应曝光，误检 12%→3.1%</t>
  </si>
  <si>
    <t xml:space="preserve">v1.5</t>
  </si>
  <si>
    <t xml:space="preserve">2026-08-27</t>
  </si>
  <si>
    <t xml:space="preserve">抓取增强</t>
  </si>
  <si>
    <t xml:space="preserve">夹爪策略优化，滑落率→1.1%</t>
  </si>
  <si>
    <t xml:space="preserve">v2.0</t>
  </si>
  <si>
    <t xml:space="preserve">2026-09-20</t>
  </si>
  <si>
    <t xml:space="preserve">Release</t>
  </si>
  <si>
    <t xml:space="preserve">世界模型 + DAgger 完整闭环</t>
  </si>
  <si>
    <t xml:space="preserve">发布版本数</t>
  </si>
  <si>
    <t xml:space="preserve">开发周期</t>
  </si>
  <si>
    <t xml:space="preserve">125 天</t>
  </si>
  <si>
    <t xml:space="preserve">成功率提升</t>
  </si>
  <si>
    <t xml:space="preserve">pp</t>
  </si>
  <si>
    <t xml:space="preserve">门禁 60→233</t>
  </si>
  <si>
    <t xml:space="preserve">二、里程碑时间线</t>
  </si>
  <si>
    <t xml:space="preserve">阶段</t>
  </si>
  <si>
    <t xml:space="preserve">周期</t>
  </si>
  <si>
    <t xml:space="preserve">关键交付</t>
  </si>
  <si>
    <t xml:space="preserve">里程碑</t>
  </si>
  <si>
    <t xml:space="preserve">需求与方案</t>
  </si>
  <si>
    <t xml:space="preserve">05-08 ~ 05-15</t>
  </si>
  <si>
    <t xml:space="preserve">需求基线 / 技术选型</t>
  </si>
  <si>
    <t xml:space="preserve">M1 方案冻结</t>
  </si>
  <si>
    <t xml:space="preserve">硬件与标定</t>
  </si>
  <si>
    <t xml:space="preserve">05-18 ~ 06-05</t>
  </si>
  <si>
    <t xml:space="preserve">六轴臂 + STM32 + 九点标定</t>
  </si>
  <si>
    <t xml:space="preserve">M2 真机可达</t>
  </si>
  <si>
    <t xml:space="preserve">感知系统</t>
  </si>
  <si>
    <t xml:space="preserve">06-06 ~ 07-05</t>
  </si>
  <si>
    <t xml:space="preserve">YOLO ONNX 12 类</t>
  </si>
  <si>
    <t xml:space="preserve">M3 检测 22FPS</t>
  </si>
  <si>
    <t xml:space="preserve">决策系统 VLA</t>
  </si>
  <si>
    <t xml:space="preserve">07-06 ~ 08-15</t>
  </si>
  <si>
    <t xml:space="preserve">TemporalVLA 训练/部署</t>
  </si>
  <si>
    <t xml:space="preserve">M4 指令执行</t>
  </si>
  <si>
    <t xml:space="preserve">仿真与迁移</t>
  </si>
  <si>
    <t xml:space="preserve">08-16 ~ 08-31</t>
  </si>
  <si>
    <t xml:space="preserve">MuJoCo 随机化 + Real2Sim2Real</t>
  </si>
  <si>
    <t xml:space="preserve">M5 仿真 94.7%</t>
  </si>
  <si>
    <t xml:space="preserve">门禁与发布</t>
  </si>
  <si>
    <t xml:space="preserve">09-01 ~ 09-20</t>
  </si>
  <si>
    <t xml:space="preserve">233 项门禁 + 实机 1000 次</t>
  </si>
  <si>
    <t xml:space="preserve">M6 v2.0 Release</t>
  </si>
  <si>
    <t xml:space="preserve">三、工程规范</t>
  </si>
  <si>
    <t xml:space="preserve">项目</t>
  </si>
  <si>
    <t xml:space="preserve">规范</t>
  </si>
  <si>
    <t xml:space="preserve">说明</t>
  </si>
  <si>
    <t xml:space="preserve">代码质量</t>
  </si>
  <si>
    <t xml:space="preserve">单测覆盖率 ≥ 85%</t>
  </si>
  <si>
    <t xml:space="preserve">135 + 9 项单元/合约</t>
  </si>
  <si>
    <t xml:space="preserve">发布门禁</t>
  </si>
  <si>
    <t xml:space="preserve">发布前全量回归</t>
  </si>
  <si>
    <t xml:space="preserve">233 项全通过</t>
  </si>
  <si>
    <t xml:space="preserve">数据管理</t>
  </si>
  <si>
    <t xml:space="preserve">每次实验记录 seed / 口径</t>
  </si>
  <si>
    <t xml:space="preserve">3 seed 可复现</t>
  </si>
  <si>
    <t xml:space="preserve">版本纪律</t>
  </si>
  <si>
    <t xml:space="preserve">语义化版本 + 变更日志</t>
  </si>
  <si>
    <t xml:space="preserve">v0.1 → v2.0</t>
  </si>
  <si>
    <t xml:space="preserve">具身基础模型 · 跨具身预训练 / 模型缩放 / 多模态输入</t>
  </si>
  <si>
    <t xml:space="preserve">方向参照 Open X-Embodiment 与生成式动作建模 · 全部为本项目自有训练与评测记录</t>
  </si>
  <si>
    <t xml:space="preserve">一、模型版本演进</t>
  </si>
  <si>
    <t xml:space="preserve">版本</t>
  </si>
  <si>
    <t xml:space="preserve">参数量(M)</t>
  </si>
  <si>
    <t xml:space="preserve">动作头</t>
  </si>
  <si>
    <t xml:space="preserve">训练数据量</t>
  </si>
  <si>
    <t xml:space="preserve">指令成功率</t>
  </si>
  <si>
    <t xml:space="preserve">推理延迟(ms)</t>
  </si>
  <si>
    <t xml:space="preserve">发布</t>
  </si>
  <si>
    <t xml:space="preserve">说明</t>
  </si>
  <si>
    <t xml:space="preserve">v1.0</t>
  </si>
  <si>
    <t xml:space="preserve">动作回归头</t>
  </si>
  <si>
    <t xml:space="preserve">v1.0 发布</t>
  </si>
  <si>
    <t xml:space="preserve">首个可用版本</t>
  </si>
  <si>
    <t xml:space="preserve">v2.0</t>
  </si>
  <si>
    <t xml:space="preserve">时序融合 + 辅助监督</t>
  </si>
  <si>
    <t xml:space="preserve">v2.0 Release</t>
  </si>
  <si>
    <t xml:space="preserve">当前发布</t>
  </si>
  <si>
    <t xml:space="preserve">v3.0</t>
  </si>
  <si>
    <t xml:space="preserve">Flow Matching 生成式动作</t>
  </si>
  <si>
    <t xml:space="preserve">内测中</t>
  </si>
  <si>
    <t xml:space="preserve">跨具身预训练 + 真机微调</t>
  </si>
  <si>
    <t xml:space="preserve">二、跨具身预训练语料（Open X-Embodiment 风格）</t>
  </si>
  <si>
    <t xml:space="preserve">数据源</t>
  </si>
  <si>
    <t xml:space="preserve">转移数</t>
  </si>
  <si>
    <t xml:space="preserve">占比</t>
  </si>
  <si>
    <t xml:space="preserve"/>
  </si>
  <si>
    <t xml:space="preserve">遥操作示范（真机）</t>
  </si>
  <si>
    <t xml:space="preserve">手柄 / VR 遥操作，12 类物体</t>
  </si>
  <si>
    <t xml:space="preserve">DAgger 在线纠偏</t>
  </si>
  <si>
    <t xml:space="preserve">168 回合自动纠偏</t>
  </si>
  <si>
    <t xml:space="preserve">语言辅助标注</t>
  </si>
  <si>
    <t xml:space="preserve">伪标签 + 人工复核</t>
  </si>
  <si>
    <t xml:space="preserve">仿真迁移（Real2Sim2Real）</t>
  </si>
  <si>
    <t xml:space="preserve">MuJoCo 域随机化</t>
  </si>
  <si>
    <t xml:space="preserve">合计</t>
  </si>
  <si>
    <t xml:space="preserve">累计语料 182,900 · 跨 12 个具身平台</t>
  </si>
  <si>
    <t xml:space="preserve">三、模型缩放律（Scaling Law，仿真 3 轮平均）</t>
  </si>
  <si>
    <t xml:space="preserve">仿真成功率</t>
  </si>
  <si>
    <t xml:space="preserve">真机成功率</t>
  </si>
  <si>
    <t xml:space="preserve">备注</t>
  </si>
  <si>
    <t xml:space="preserve">轻量骨干，边缘友好</t>
  </si>
  <si>
    <t xml:space="preserve">BC 基线参数</t>
  </si>
  <si>
    <t xml:space="preserve">v2.0 发布</t>
  </si>
  <si>
    <t xml:space="preserve">v3.0 内测</t>
  </si>
  <si>
    <t xml:space="preserve">收益递减，未部署</t>
  </si>
  <si>
    <t xml:space="preserve">结论</t>
  </si>
  <si>
    <t xml:space="preserve">1.83M→4.20M 增益 &lt;1.6pp</t>
  </si>
  <si>
    <t xml:space="preserve">边缘算力约束下 2.60M 为最优</t>
  </si>
  <si>
    <t xml:space="preserve">—</t>
  </si>
  <si>
    <t xml:space="preserve">缩放收益符合对数曲线</t>
  </si>
  <si>
    <t xml:space="preserve">四、多模态输入输出维度</t>
  </si>
  <si>
    <t xml:space="preserve">输入</t>
  </si>
  <si>
    <t xml:space="preserve">RGB 64×64×3（INT8）</t>
  </si>
  <si>
    <t xml:space="preserve">语言 CLIP-768 维</t>
  </si>
  <si>
    <t xml:space="preserve">目标 6D 位姿（9 维）</t>
  </si>
  <si>
    <t xml:space="preserve">夹爪状态 2 维 + 关节 6 维</t>
  </si>
  <si>
    <t xml:space="preserve">输出</t>
  </si>
  <si>
    <t xml:space="preserve">6 关节增量（rad）+ 夹爪开合（0-1）+ 失败置信度</t>
  </si>
  <si>
    <t xml:space="preserve">共 10 维动作</t>
  </si>
  <si>
    <t xml:space="preserve">融合结构</t>
  </si>
  <si>
    <t xml:space="preserve">Cross-Attention：语言 12 层 / 视觉 6 层</t>
  </si>
  <si>
    <t xml:space="preserve">辅助头：目标定位 / 阶段分类</t>
  </si>
  <si>
    <t xml:space="preserve">汇总</t>
  </si>
  <si>
    <t xml:space="preserve">版本数 =COUNTA(A5:A7)</t>
  </si>
  <si>
    <t xml:space="preserve">跨具身平台 12 个</t>
  </si>
  <si>
    <t xml:space="preserve">语料合计 =SUM(B10:B13)</t>
  </si>
  <si>
    <t xml:space="preserve">预训练收益 +8.1pp（OOD 指令）</t>
  </si>
  <si>
    <t xml:space="preserve">技能库与长程任务编排 · 12 项技能 / LLM 规划 / 组合成功率</t>
  </si>
  <si>
    <t xml:space="preserve">技能即策略子网络，按任务检索调用 · 长程任务由规划器分解为技能序列并逐级校验</t>
  </si>
  <si>
    <t xml:space="preserve">一、技能库清单</t>
  </si>
  <si>
    <t xml:space="preserve">技能</t>
  </si>
  <si>
    <t xml:space="preserve">输入</t>
  </si>
  <si>
    <t xml:space="preserve">输出</t>
  </si>
  <si>
    <t xml:space="preserve">样本数</t>
  </si>
  <si>
    <t xml:space="preserve">成功率</t>
  </si>
  <si>
    <t xml:space="preserve">来源</t>
  </si>
  <si>
    <t xml:space="preserve">备注</t>
  </si>
  <si>
    <t xml:space="preserve">单物抓取-放置</t>
  </si>
  <si>
    <t xml:space="preserve">物体+目标位</t>
  </si>
  <si>
    <t xml:space="preserve">抓放动作</t>
  </si>
  <si>
    <t xml:space="preserve">遥操作+DAgger</t>
  </si>
  <si>
    <t xml:space="preserve">12 类物体</t>
  </si>
  <si>
    <t xml:space="preserve">分类归位</t>
  </si>
  <si>
    <t xml:space="preserve">物体+类别规则</t>
  </si>
  <si>
    <t xml:space="preserve">分组放置</t>
  </si>
  <si>
    <t xml:space="preserve">遥操作</t>
  </si>
  <si>
    <t xml:space="preserve">按颜色/类别</t>
  </si>
  <si>
    <t xml:space="preserve">垃圾清理</t>
  </si>
  <si>
    <t xml:space="preserve">垃圾目标</t>
  </si>
  <si>
    <t xml:space="preserve">抓取→投筐</t>
  </si>
  <si>
    <t xml:space="preserve">遥操作+仿真</t>
  </si>
  <si>
    <t xml:space="preserve">纸巾团/空瓶</t>
  </si>
  <si>
    <t xml:space="preserve">堆叠码放</t>
  </si>
  <si>
    <t xml:space="preserve">物体+层序</t>
  </si>
  <si>
    <t xml:space="preserve">叠放动作</t>
  </si>
  <si>
    <t xml:space="preserve">示教</t>
  </si>
  <si>
    <t xml:space="preserve">≤3 层</t>
  </si>
  <si>
    <t xml:space="preserve">插入装配</t>
  </si>
  <si>
    <t xml:space="preserve">物体+孔位</t>
  </si>
  <si>
    <t xml:space="preserve">对准插入</t>
  </si>
  <si>
    <t xml:space="preserve">示教+力控</t>
  </si>
  <si>
    <t xml:space="preserve">笔入笔筒</t>
  </si>
  <si>
    <t xml:space="preserve">递接（Handover）</t>
  </si>
  <si>
    <t xml:space="preserve">伸出的手</t>
  </si>
  <si>
    <t xml:space="preserve">递物动作</t>
  </si>
  <si>
    <t xml:space="preserve">手部检测</t>
  </si>
  <si>
    <t xml:space="preserve">开盖（拧）</t>
  </si>
  <si>
    <t xml:space="preserve">带盖物体</t>
  </si>
  <si>
    <t xml:space="preserve">拧盖动作</t>
  </si>
  <si>
    <t xml:space="preserve">力控示教</t>
  </si>
  <si>
    <t xml:space="preserve">受限场景</t>
  </si>
  <si>
    <t xml:space="preserve">擦拭</t>
  </si>
  <si>
    <t xml:space="preserve">污渍区域</t>
  </si>
  <si>
    <t xml:space="preserve">擦拭轨迹</t>
  </si>
  <si>
    <t xml:space="preserve">柔顺控制</t>
  </si>
  <si>
    <t xml:space="preserve">示教复现</t>
  </si>
  <si>
    <t xml:space="preserve">一段演示</t>
  </si>
  <si>
    <t xml:space="preserve">复现轨迹</t>
  </si>
  <si>
    <t xml:space="preserve">直接示教</t>
  </si>
  <si>
    <t xml:space="preserve">6 次重复全成功</t>
  </si>
  <si>
    <t xml:space="preserve">重排（避障取放）</t>
  </si>
  <si>
    <t xml:space="preserve">障碍布局</t>
  </si>
  <si>
    <t xml:space="preserve">避障路径</t>
  </si>
  <si>
    <t xml:space="preserve">规划+BC</t>
  </si>
  <si>
    <t xml:space="preserve">动态避障</t>
  </si>
  <si>
    <t xml:space="preserve">双目标连续抓取</t>
  </si>
  <si>
    <t xml:space="preserve">两个目标</t>
  </si>
  <si>
    <t xml:space="preserve">两步动作</t>
  </si>
  <si>
    <t xml:space="preserve">辅助监督</t>
  </si>
  <si>
    <t xml:space="preserve">分解执行</t>
  </si>
  <si>
    <t xml:space="preserve">主动询问</t>
  </si>
  <si>
    <t xml:space="preserve">低置信目标</t>
  </si>
  <si>
    <t xml:space="preserve">提问确认</t>
  </si>
  <si>
    <t xml:space="preserve">规则+VLA</t>
  </si>
  <si>
    <t xml:space="preserve">用户确认后执行</t>
  </si>
  <si>
    <t xml:space="preserve">技能数</t>
  </si>
  <si>
    <t xml:space="preserve">平均成功率</t>
  </si>
  <si>
    <t xml:space="preserve">总样本</t>
  </si>
  <si>
    <t xml:space="preserve">—</t>
  </si>
  <si>
    <t xml:space="preserve">二、长程任务分解示例（规划器 → 技能序列）</t>
  </si>
  <si>
    <t xml:space="preserve">指令</t>
  </si>
  <si>
    <t xml:space="preserve">规划步骤</t>
  </si>
  <si>
    <t xml:space="preserve">调用技能</t>
  </si>
  <si>
    <t xml:space="preserve">每步成功率</t>
  </si>
  <si>
    <t xml:space="preserve">整体成功率</t>
  </si>
  <si>
    <t xml:space="preserve">说明</t>
  </si>
  <si>
    <t xml:space="preserve"/>
  </si>
  <si>
    <t xml:space="preserve">“把桌面整理干净”</t>
  </si>
  <si>
    <t xml:space="preserve">5 步</t>
  </si>
  <si>
    <t xml:space="preserve">识别→分组→分类归位×3→垃圾清理→校验</t>
  </si>
  <si>
    <t xml:space="preserve">0.972/0.964/0.964/0.964/0.958/0.999</t>
  </si>
  <si>
    <t xml:space="preserve">5 步长程</t>
  </si>
  <si>
    <t xml:space="preserve">“把笔放进笔筒再放到左上角”</t>
  </si>
  <si>
    <t xml:space="preserve">3 步</t>
  </si>
  <si>
    <t xml:space="preserve">插入装配→单物抓取-放置→校验</t>
  </si>
  <si>
    <t xml:space="preserve">0.917/0.972/0.999</t>
  </si>
  <si>
    <t xml:space="preserve">组合装配</t>
  </si>
  <si>
    <t xml:space="preserve">“拿红色杯子，不要碰手机”</t>
  </si>
  <si>
    <t xml:space="preserve">2 步</t>
  </si>
  <si>
    <t xml:space="preserve">语言定位抓取→安全校验</t>
  </si>
  <si>
    <t xml:space="preserve">0.968/0.999</t>
  </si>
  <si>
    <t xml:space="preserve">否定指令校验</t>
  </si>
  <si>
    <t xml:space="preserve">“把易拉罐和可乐瓶都放进回收筐”</t>
  </si>
  <si>
    <t xml:space="preserve">单物抓取-放置×2→垃圾清理</t>
  </si>
  <si>
    <t xml:space="preserve">0.972/0.972/0.958</t>
  </si>
  <si>
    <t xml:space="preserve">双目标</t>
  </si>
  <si>
    <t xml:space="preserve">三、组合成功率（误差累积）</t>
  </si>
  <si>
    <t xml:space="preserve">步骤数</t>
  </si>
  <si>
    <t xml:space="preserve">理论（单步 97.2%）</t>
  </si>
  <si>
    <t xml:space="preserve">实测</t>
  </si>
  <si>
    <t xml:space="preserve">单技能基线</t>
  </si>
  <si>
    <t xml:space="preserve">实测略低于理论</t>
  </si>
  <si>
    <t xml:space="preserve">长程任务建议人工兜底</t>
  </si>
  <si>
    <t xml:space="preserve">失败预测与安全人机交互 · 预警 / 主动询问 / 递接 / 协作安全</t>
  </si>
  <si>
    <t xml:space="preserve">失败预测器为动作级前置模型 · 人机协作满足最低安全间距与力限制 · 全程零事故</t>
  </si>
  <si>
    <t xml:space="preserve">一、失败预测器</t>
  </si>
  <si>
    <t xml:space="preserve">指标</t>
  </si>
  <si>
    <t xml:space="preserve">数值</t>
  </si>
  <si>
    <t xml:space="preserve">说明</t>
  </si>
  <si>
    <t xml:space="preserve"/>
  </si>
  <si>
    <t xml:space="preserve">输入特征</t>
  </si>
  <si>
    <t xml:space="preserve">8 维</t>
  </si>
  <si>
    <t xml:space="preserve">检测置信度/夹爪力/轨迹曲率/历史失败模式</t>
  </si>
  <si>
    <t xml:space="preserve">预警提前量</t>
  </si>
  <si>
    <t xml:space="preserve">1.2s</t>
  </si>
  <si>
    <t xml:space="preserve">动作执行前给出风险</t>
  </si>
  <si>
    <t xml:space="preserve">预测准确率</t>
  </si>
  <si>
    <t xml:space="preserve">500 次评估集</t>
  </si>
  <si>
    <t xml:space="preserve">AUC</t>
  </si>
  <si>
    <t xml:space="preserve">阈值 0.65</t>
  </si>
  <si>
    <t xml:space="preserve">拦截后重规划成功率</t>
  </si>
  <si>
    <t xml:space="preserve">28/28 全部复抓/重规划成功</t>
  </si>
  <si>
    <t xml:space="preserve">误报率</t>
  </si>
  <si>
    <t xml:space="preserve">仅 1 次不必要重试</t>
  </si>
  <si>
    <t xml:space="preserve">二、主动询问机制</t>
  </si>
  <si>
    <t xml:space="preserve">场景</t>
  </si>
  <si>
    <t xml:space="preserve">触发条件</t>
  </si>
  <si>
    <t xml:space="preserve">询问方式</t>
  </si>
  <si>
    <t xml:space="preserve">确认后成功率</t>
  </si>
  <si>
    <t xml:space="preserve">低置信目标</t>
  </si>
  <si>
    <t xml:space="preserve">置信度 &lt;0.75</t>
  </si>
  <si>
    <t xml:space="preserve">语音+屏幕</t>
  </si>
  <si>
    <t xml:space="preserve">未知物体</t>
  </si>
  <si>
    <t xml:space="preserve">OOD 检测命中</t>
  </si>
  <si>
    <t xml:space="preserve">屏幕问询</t>
  </si>
  <si>
    <t xml:space="preserve">模糊指令</t>
  </si>
  <si>
    <t xml:space="preserve">指令歧义超阈值</t>
  </si>
  <si>
    <t xml:space="preserve">语音复述确认</t>
  </si>
  <si>
    <t xml:space="preserve">高风险动作</t>
  </si>
  <si>
    <t xml:space="preserve">世界模型风险 &gt;0.8</t>
  </si>
  <si>
    <t xml:space="preserve">二次确认</t>
  </si>
  <si>
    <t xml:space="preserve">统计</t>
  </si>
  <si>
    <t xml:space="preserve">周均询问 5 次</t>
  </si>
  <si>
    <t xml:space="preserve">用户平均确认耗时 2.3s</t>
  </si>
  <si>
    <t xml:space="preserve">确认后成功率 100%</t>
  </si>
  <si>
    <t xml:space="preserve">三、人机协作（Handover 递接）</t>
  </si>
  <si>
    <t xml:space="preserve">手部检测精度</t>
  </si>
  <si>
    <t xml:space="preserve">2D 手部关键点 + 深度测距</t>
  </si>
  <si>
    <t xml:space="preserve">检测到手→开始递接</t>
  </si>
  <si>
    <t xml:space="preserve">2.1s</t>
  </si>
  <si>
    <t xml:space="preserve">平均响应</t>
  </si>
  <si>
    <t xml:space="preserve">递接成功率</t>
  </si>
  <si>
    <t xml:space="preserve">60 次实测（29 左手/31 右手）</t>
  </si>
  <si>
    <t xml:space="preserve">协作间距</t>
  </si>
  <si>
    <t xml:space="preserve">15cm 减速 / 8cm 停止</t>
  </si>
  <si>
    <t xml:space="preserve">激光+视觉融合</t>
  </si>
  <si>
    <t xml:space="preserve">递接碰撞</t>
  </si>
  <si>
    <t xml:space="preserve">次（全程记录）</t>
  </si>
  <si>
    <t xml:space="preserve">四、协作安全指标</t>
  </si>
  <si>
    <t xml:space="preserve">夹爪峰值力</t>
  </si>
  <si>
    <t xml:space="preserve">8N（可调 4-10N）</t>
  </si>
  <si>
    <t xml:space="preserve">力控柔顺</t>
  </si>
  <si>
    <t xml:space="preserve">协作模式关节速度</t>
  </si>
  <si>
    <t xml:space="preserve">≤120 deg/s</t>
  </si>
  <si>
    <t xml:space="preserve">工作模式 260 deg/s</t>
  </si>
  <si>
    <t xml:space="preserve">接触检测阈值</t>
  </si>
  <si>
    <t xml:space="preserve">1.5N</t>
  </si>
  <si>
    <t xml:space="preserve">触发回退</t>
  </si>
  <si>
    <t xml:space="preserve">急停响应</t>
  </si>
  <si>
    <t xml:space="preserve">&lt;50ms</t>
  </si>
  <si>
    <t xml:space="preserve">GPIO 硬中断</t>
  </si>
  <si>
    <t xml:space="preserve">事故记录</t>
  </si>
  <si>
    <t xml:space="preserve">次（全部模式）</t>
  </si>
  <si>
    <t xml:space="preserve">数据飞轮与实验追踪 · 失败回流 / 实验管理 / 数据质量</t>
  </si>
  <si>
    <t xml:space="preserve">飞轮：真机失败→自动回流→每周重训→回归验证 · 实验管理覆盖全部训练运行（同 seed 可复现）</t>
  </si>
  <si>
    <t xml:space="preserve">一、数据飞轮闭环</t>
  </si>
  <si>
    <t xml:space="preserve">环节</t>
  </si>
  <si>
    <t xml:space="preserve">数值</t>
  </si>
  <si>
    <t xml:space="preserve">说明</t>
  </si>
  <si>
    <t xml:space="preserve"/>
  </si>
  <si>
    <t xml:space="preserve">飞轮周期</t>
  </si>
  <si>
    <t xml:space="preserve">7 天</t>
  </si>
  <si>
    <t xml:space="preserve">每周重训 + 回归</t>
  </si>
  <si>
    <t xml:space="preserve">累计回流转移</t>
  </si>
  <si>
    <t xml:space="preserve">28 次失败样本 + 复抓正样本</t>
  </si>
  <si>
    <t xml:space="preserve">回流后失败率变化</t>
  </si>
  <si>
    <t xml:space="preserve">-1.9pp</t>
  </si>
  <si>
    <t xml:space="preserve">内测集 97.2%→98.3%</t>
  </si>
  <si>
    <t xml:space="preserve">自动清洗率</t>
  </si>
  <si>
    <t xml:space="preserve">去抖/重复帧/低置信标签</t>
  </si>
  <si>
    <t xml:space="preserve">人工复核率</t>
  </si>
  <si>
    <t xml:space="preserve">抽检比例</t>
  </si>
  <si>
    <t xml:space="preserve">二、实验追踪记录（12 组）</t>
  </si>
  <si>
    <t xml:space="preserve">实验ID</t>
  </si>
  <si>
    <t xml:space="preserve">日期</t>
  </si>
  <si>
    <t xml:space="preserve">模型配置</t>
  </si>
  <si>
    <t xml:space="preserve">数据量</t>
  </si>
  <si>
    <t xml:space="preserve">seed</t>
  </si>
  <si>
    <t xml:space="preserve">验证损失</t>
  </si>
  <si>
    <t xml:space="preserve">仿真成功率</t>
  </si>
  <si>
    <t xml:space="preserve">真机成功率</t>
  </si>
  <si>
    <t xml:space="preserve">结论</t>
  </si>
  <si>
    <t xml:space="preserve">EXP-001</t>
  </si>
  <si>
    <t xml:space="preserve">2026-06-15</t>
  </si>
  <si>
    <t xml:space="preserve">BC v1</t>
  </si>
  <si>
    <t xml:space="preserve">基线</t>
  </si>
  <si>
    <t xml:space="preserve">EXP-002</t>
  </si>
  <si>
    <t xml:space="preserve">2026-07-02</t>
  </si>
  <si>
    <t xml:space="preserve">BC + DAgger</t>
  </si>
  <si>
    <t xml:space="preserve">分布偏移缓解</t>
  </si>
  <si>
    <t xml:space="preserve">EXP-003</t>
  </si>
  <si>
    <t xml:space="preserve">2026-07-20</t>
  </si>
  <si>
    <t xml:space="preserve">+ 辅助监督</t>
  </si>
  <si>
    <t xml:space="preserve">指令理解提升</t>
  </si>
  <si>
    <t xml:space="preserve">EXP-004</t>
  </si>
  <si>
    <t xml:space="preserve">2026-08-05</t>
  </si>
  <si>
    <t xml:space="preserve">+ 世界模型（v2.0）</t>
  </si>
  <si>
    <t xml:space="preserve">发布版本</t>
  </si>
  <si>
    <t xml:space="preserve">EXP-005</t>
  </si>
  <si>
    <t xml:space="preserve">+ 世界模型（seed 复现）</t>
  </si>
  <si>
    <t xml:space="preserve">3 seed 之一</t>
  </si>
  <si>
    <t xml:space="preserve">EXP-006</t>
  </si>
  <si>
    <t xml:space="preserve">EXP-007</t>
  </si>
  <si>
    <t xml:space="preserve">2026-08-20</t>
  </si>
  <si>
    <t xml:space="preserve">移除世界模型</t>
  </si>
  <si>
    <t xml:space="preserve">消融 -6.3pp</t>
  </si>
  <si>
    <t xml:space="preserve">EXP-008</t>
  </si>
  <si>
    <t xml:space="preserve">移除 DAgger</t>
  </si>
  <si>
    <t xml:space="preserve">消融 -12.0pp</t>
  </si>
  <si>
    <t xml:space="preserve">EXP-009</t>
  </si>
  <si>
    <t xml:space="preserve">2026-09-03</t>
  </si>
  <si>
    <t xml:space="preserve">轻量 backbone</t>
  </si>
  <si>
    <t xml:space="preserve">边缘候选</t>
  </si>
  <si>
    <t xml:space="preserve">EXP-010</t>
  </si>
  <si>
    <t xml:space="preserve">2026-09-05</t>
  </si>
  <si>
    <t xml:space="preserve">输入 128</t>
  </si>
  <si>
    <t xml:space="preserve">延迟+1.8ms 未采纳</t>
  </si>
  <si>
    <t xml:space="preserve">EXP-011</t>
  </si>
  <si>
    <t xml:space="preserve">2026-09-12</t>
  </si>
  <si>
    <t xml:space="preserve">跨具身预训练（v3.0）</t>
  </si>
  <si>
    <t xml:space="preserve">内测最优</t>
  </si>
  <si>
    <t xml:space="preserve">EXP-012</t>
  </si>
  <si>
    <t xml:space="preserve">2026-09-15</t>
  </si>
  <si>
    <t xml:space="preserve">LoRA r=64</t>
  </si>
  <si>
    <t xml:space="preserve">低资源方案</t>
  </si>
  <si>
    <t xml:space="preserve">实验数</t>
  </si>
  <si>
    <t xml:space="preserve">最优验证损失</t>
  </si>
  <si>
    <t xml:space="preserve">seed 复现组</t>
  </si>
  <si>
    <t xml:space="preserve">3 组</t>
  </si>
  <si>
    <t xml:space="preserve">发布实验</t>
  </si>
  <si>
    <t xml:space="preserve">—</t>
  </si>
  <si>
    <t xml:space="preserve">三、数据分布与质量</t>
  </si>
  <si>
    <t xml:space="preserve">类别</t>
  </si>
  <si>
    <t xml:space="preserve">转移数</t>
  </si>
  <si>
    <t xml:space="preserve">占比</t>
  </si>
  <si>
    <t xml:space="preserve">遥操作示范</t>
  </si>
  <si>
    <t xml:space="preserve">手柄 / VR，覆盖 12 类</t>
  </si>
  <si>
    <t xml:space="preserve">DAgger 在线</t>
  </si>
  <si>
    <t xml:space="preserve">168 回合自动纠偏</t>
  </si>
  <si>
    <t xml:space="preserve">语言辅助</t>
  </si>
  <si>
    <t xml:space="preserve">伪标签 + 复核</t>
  </si>
  <si>
    <t xml:space="preserve">仿真迁移</t>
  </si>
  <si>
    <t xml:space="preserve">Real2Sim2Real</t>
  </si>
  <si>
    <t xml:space="preserve">合计</t>
  </si>
  <si>
    <t xml:space="preserve">累计 182,900 转移</t>
  </si>
  <si>
    <t xml:space="preserve">数据质量规则</t>
  </si>
  <si>
    <t xml:space="preserve">去抖帧 / 去重复帧 / 标签置信&lt;0.6 剔除</t>
  </si>
  <si>
    <t xml:space="preserve">清洗率 6.2%</t>
  </si>
  <si>
    <t xml:space="preserve">评测基准与公开对照 · XiaoU-Bench / 基线对比 / 迁移评估 / 指标卡</t>
  </si>
  <si>
    <t xml:space="preserve">自建基准 5 任务族 × 3 难度 = 900 回合 · 公开基准按协议对齐后自测 · 全部与 v2.0 发布配置同协议</t>
  </si>
  <si>
    <t xml:space="preserve">一、XiaoU-Bench 自建基准（900 回合）</t>
  </si>
  <si>
    <t xml:space="preserve">任务族</t>
  </si>
  <si>
    <t xml:space="preserve">简单</t>
  </si>
  <si>
    <t xml:space="preserve">中等</t>
  </si>
  <si>
    <t xml:space="preserve">困难</t>
  </si>
  <si>
    <t xml:space="preserve">样本数/族</t>
  </si>
  <si>
    <t xml:space="preserve">整体成功率</t>
  </si>
  <si>
    <t xml:space="preserve">难度说明</t>
  </si>
  <si>
    <t xml:space="preserve">单物取放</t>
  </si>
  <si>
    <t xml:space="preserve">常规/遮挡/凌乱</t>
  </si>
  <si>
    <t xml:space="preserve">多物分类</t>
  </si>
  <si>
    <t xml:space="preserve">按类归位</t>
  </si>
  <si>
    <t xml:space="preserve">堆叠码放</t>
  </si>
  <si>
    <t xml:space="preserve">≤3 层</t>
  </si>
  <si>
    <t xml:space="preserve">长程整理（5 步）</t>
  </si>
  <si>
    <t xml:space="preserve">多步组合</t>
  </si>
  <si>
    <t xml:space="preserve">交互递接</t>
  </si>
  <si>
    <t xml:space="preserve">人机协作</t>
  </si>
  <si>
    <t xml:space="preserve">平均</t>
  </si>
  <si>
    <t xml:space="preserve">合计 900 回合</t>
  </si>
  <si>
    <t xml:space="preserve">二、同规格基线对照（真机演示集口径）</t>
  </si>
  <si>
    <t xml:space="preserve">方法</t>
  </si>
  <si>
    <t xml:space="preserve">参数量</t>
  </si>
  <si>
    <t xml:space="preserve">仿真成功率</t>
  </si>
  <si>
    <t xml:space="preserve">真机成功率</t>
  </si>
  <si>
    <t xml:space="preserve">说明</t>
  </si>
  <si>
    <t xml:space="preserve"/>
  </si>
  <si>
    <t xml:space="preserve">RT-1 风格（分类动作头）</t>
  </si>
  <si>
    <t xml:space="preserve">无世界模型</t>
  </si>
  <si>
    <t xml:space="preserve">Octo 风格（预训练微调）</t>
  </si>
  <si>
    <t xml:space="preserve">跨具身微调</t>
  </si>
  <si>
    <t xml:space="preserve">本系统 v2.0</t>
  </si>
  <si>
    <t xml:space="preserve">世界模型 + DAgger</t>
  </si>
  <si>
    <t xml:space="preserve">本系统 v3.0（内测）</t>
  </si>
  <si>
    <t xml:space="preserve">跨具身 + Flow Matching</t>
  </si>
  <si>
    <t xml:space="preserve">三、公开基准迁移评估（协议对齐后自测）</t>
  </si>
  <si>
    <t xml:space="preserve">基准</t>
  </si>
  <si>
    <t xml:space="preserve">任务类型</t>
  </si>
  <si>
    <t xml:space="preserve">自测结果</t>
  </si>
  <si>
    <t xml:space="preserve">LIBERO-Spatial（子集）</t>
  </si>
  <si>
    <t xml:space="preserve">空间推理</t>
  </si>
  <si>
    <t xml:space="preserve">80 样本</t>
  </si>
  <si>
    <t xml:space="preserve">LIBERO-Goal（子集）</t>
  </si>
  <si>
    <t xml:space="preserve">目标推理</t>
  </si>
  <si>
    <t xml:space="preserve">RT-X 桌面子集</t>
  </si>
  <si>
    <t xml:space="preserve">跨平台迁移</t>
  </si>
  <si>
    <t xml:space="preserve">自建 XiaoU-Bench</t>
  </si>
  <si>
    <t xml:space="preserve">5 任务族</t>
  </si>
  <si>
    <t xml:space="preserve">900 回合（发布基准）</t>
  </si>
  <si>
    <t xml:space="preserve">四、性能四维对比卡</t>
  </si>
  <si>
    <t xml:space="preserve">维度</t>
  </si>
  <si>
    <t xml:space="preserve">v1.0</t>
  </si>
  <si>
    <t xml:space="preserve">v2.0</t>
  </si>
  <si>
    <t xml:space="preserve">v3.0</t>
  </si>
  <si>
    <t xml:space="preserve">推理延迟</t>
  </si>
  <si>
    <t xml:space="preserve">功耗占比（整机）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</si>
</sst>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9">
    <numFmt numFmtId="164" formatCode="0.0%"/>
    <numFmt numFmtId="165" formatCode="0.0"/>
    <numFmt numFmtId="166" formatCode="0.00%"/>
    <numFmt numFmtId="167" formatCode="0.00"/>
    <numFmt numFmtId="168" formatCode="0"/>
    <numFmt numFmtId="169" formatCode="0"/>
    <numFmt numFmtId="170" formatCode="0.000"/>
    <numFmt numFmtId="171" formatCode="0.0"/>
    <numFmt numFmtId="172" formatCode="0"/>
    <numFmt numFmtId="173" formatCode="0.00"/>
    <numFmt numFmtId="174" formatCode="0.0%"/>
    <numFmt numFmtId="175" formatCode="0"/>
    <numFmt numFmtId="176" formatCode="0.0%"/>
    <numFmt numFmtId="177" formatCode="0.00%"/>
    <numFmt numFmtId="178" formatCode="0"/>
    <numFmt numFmtId="179" formatCode="0.0"/>
    <numFmt numFmtId="180" formatCode="0.00"/>
    <numFmt numFmtId="181" formatCode="0.0"/>
    <numFmt numFmtId="182" formatCode="0"/>
    <numFmt numFmtId="183" formatCode="0.0%"/>
    <numFmt numFmtId="184" formatCode="0.00"/>
    <numFmt numFmtId="185" formatCode="0%"/>
    <numFmt numFmtId="186" formatCode="0.0"/>
    <numFmt numFmtId="187" formatCode="0"/>
    <numFmt numFmtId="188" formatCode="0.0%"/>
    <numFmt numFmtId="189" formatCode="0.00"/>
    <numFmt numFmtId="190" formatCode="#,##0"/>
    <numFmt numFmtId="191" formatCode="0"/>
    <numFmt numFmtId="192" formatCode="0.0%"/>
    <numFmt numFmtId="193" formatCode="0.00"/>
    <numFmt numFmtId="194" formatCode="0.0"/>
    <numFmt numFmtId="195" formatCode="0.000000"/>
    <numFmt numFmtId="196" formatCode="0"/>
    <numFmt numFmtId="197" formatCode="0.0000"/>
    <numFmt numFmtId="198" formatCode="0.000"/>
    <numFmt numFmtId="199" formatCode="0.00000"/>
    <numFmt numFmtId="200" formatCode="0.0%"/>
    <numFmt numFmtId="201" formatCode="0"/>
    <numFmt numFmtId="202" formatCode="0.0"/>
    <numFmt numFmtId="203" formatCode="0.00"/>
    <numFmt numFmtId="204" formatCode="0.0%"/>
    <numFmt numFmtId="205" formatCode="0.0%"/>
    <numFmt numFmtId="206" formatCode="0.0"/>
    <numFmt numFmtId="207" formatCode="#,##0"/>
    <numFmt numFmtId="208" formatCode="0.00"/>
    <numFmt numFmtId="209" formatCode="0"/>
    <numFmt numFmtId="210" formatCode="#,##0"/>
    <numFmt numFmtId="211" formatCode="0.0%"/>
    <numFmt numFmtId="212" formatCode="0.000"/>
    <numFmt numFmtId="213" formatCode="0"/>
    <numFmt numFmtId="214" formatCode="0.0"/>
    <numFmt numFmtId="215" formatCode="#,##0"/>
    <numFmt numFmtId="216" formatCode="0.00"/>
    <numFmt numFmtId="217" formatCode="0%"/>
    <numFmt numFmtId="218" formatCode="0"/>
    <numFmt numFmtId="219" formatCode="0.1"/>
    <numFmt numFmtId="220" formatCode="0.0%"/>
    <numFmt numFmtId="221" formatCode="0.00%"/>
    <numFmt numFmtId="222" formatCode="0"/>
    <numFmt numFmtId="223" formatCode="0.0%"/>
    <numFmt numFmtId="224" formatCode="0.0%"/>
    <numFmt numFmtId="225" formatCode="0"/>
    <numFmt numFmtId="226" formatCode="0.0"/>
    <numFmt numFmtId="227" formatCode="0.00"/>
    <numFmt numFmtId="228" formatCode="#,##0"/>
    <numFmt numFmtId="229" formatCode="0.0%"/>
    <numFmt numFmtId="230" formatCode="#,##0"/>
    <numFmt numFmtId="231" formatCode="0.0%"/>
    <numFmt numFmtId="232" formatCode="0"/>
    <numFmt numFmtId="233" formatCode="0.0%"/>
    <numFmt numFmtId="234" formatCode="0.00"/>
    <numFmt numFmtId="235" formatCode="0.0"/>
    <numFmt numFmtId="236" formatCode="0"/>
    <numFmt numFmtId="237" formatCode="#,##0"/>
    <numFmt numFmtId="238" formatCode="0.0%"/>
    <numFmt numFmtId="239" formatCode="0.0000"/>
    <numFmt numFmtId="240" formatCode="0"/>
    <numFmt numFmtId="241" formatCode="0.0%"/>
    <numFmt numFmtId="242" formatCode="0.00"/>
  </numFmts>
  <fonts count="14">
    <font>
      <sz val="11"/>
      <color theme="1"/>
      <name val="Calibri"/>
      <family val="2"/>
      <scheme val="minor"/>
    </font>
    <font>
      <b val="true"/>
      <sz val="11"/>
      <color rgb="FFFFFFFF"/>
      <name val="微软雅黑"/>
      <family val="2"/>
    </font>
    <font>
      <sz val="7"/>
      <color rgb="FF595959"/>
      <name val="微软雅黑"/>
      <family val="2"/>
    </font>
    <font>
      <b val="true"/>
      <sz val="10"/>
      <color rgb="FF17365D"/>
      <name val="微软雅黑"/>
      <family val="2"/>
    </font>
    <font>
      <b val="true"/>
      <sz val="10"/>
      <color rgb="FFFFFFFF"/>
      <name val="微软雅黑"/>
      <family val="2"/>
    </font>
    <font>
      <sz val="11"/>
      <color rgb="FF000000"/>
      <name val="Calibri"/>
      <family val="2"/>
      <scheme val="minor"/>
    </font>
    <font>
      <sz val="10"/>
      <color rgb="FF000000"/>
      <name val="微软雅黑"/>
      <family val="2"/>
    </font>
    <font>
      <b val="true"/>
      <sz val="11"/>
      <color rgb="FF17365D"/>
      <name val="Calibri"/>
      <family val="2"/>
      <scheme val="minor"/>
    </font>
    <font>
      <b val="true"/>
      <sz val="11"/>
      <color rgb="FFFFFFFF"/>
      <name val="Calibri"/>
      <family val="2"/>
      <scheme val="minor"/>
    </font>
    <font>
      <b val="true"/>
      <sz val="10"/>
      <color rgb="FF000000"/>
      <name val="微软雅黑"/>
      <family val="2"/>
    </font>
    <font>
      <b val="true"/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b val="true"/>
      <sz val="9"/>
      <color rgb="FFFFFFFF"/>
      <name val="微软雅黑"/>
      <family val="2"/>
    </font>
    <font>
      <sz val="8"/>
      <color rgb="FF17365D"/>
      <name val="微软雅黑"/>
      <family val="2"/>
    </font>
  </fonts>
  <fills count="81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17365D"/>
        <bgColor/>
      </patternFill>
    </fill>
    <fill>
      <patternFill patternType="solid">
        <fgColor rgb="FFDDEBF7"/>
        <bgColor/>
      </patternFill>
    </fill>
    <fill>
      <patternFill patternType="solid">
        <fgColor rgb="FF5B9BD5"/>
        <bgColor/>
      </patternFill>
    </fill>
    <fill>
      <patternFill patternType="solid">
        <fgColor rgb="FF17365D"/>
        <bgColor/>
      </patternFill>
    </fill>
    <fill>
      <patternFill patternType="solid">
        <fgColor rgb="FF5B9BD5"/>
        <bgColor/>
      </patternFill>
    </fill>
    <fill>
      <patternFill patternType="solid">
        <fgColor rgb="FFE2EFDA"/>
        <bgColor/>
      </patternFill>
    </fill>
    <fill>
      <patternFill patternType="solid">
        <fgColor rgb="FFFFF2CC"/>
        <bgColor/>
      </patternFill>
    </fill>
    <fill>
      <patternFill patternType="solid">
        <fgColor rgb="FF17365D"/>
        <bgColor/>
      </patternFill>
    </fill>
    <fill>
      <patternFill patternType="solid">
        <fgColor rgb="FFDDEBF7"/>
        <bgColor/>
      </patternFill>
    </fill>
    <fill>
      <patternFill patternType="solid">
        <fgColor rgb="FF5B9BD5"/>
        <bgColor/>
      </patternFill>
    </fill>
    <fill>
      <patternFill patternType="solid">
        <fgColor rgb="FF17365D"/>
        <bgColor/>
      </patternFill>
    </fill>
    <fill>
      <patternFill patternType="solid">
        <fgColor rgb="FFDDEBF7"/>
        <bgColor/>
      </patternFill>
    </fill>
    <fill>
      <patternFill patternType="solid">
        <fgColor rgb="FF5B9BD5"/>
        <bgColor/>
      </patternFill>
    </fill>
    <fill>
      <patternFill patternType="solid">
        <fgColor rgb="FFE2EFDA"/>
        <bgColor/>
      </patternFill>
    </fill>
    <fill>
      <patternFill patternType="solid">
        <fgColor rgb="FFFFF2CC"/>
        <bgColor/>
      </patternFill>
    </fill>
    <fill>
      <patternFill patternType="solid">
        <fgColor rgb="FF17365D"/>
        <bgColor/>
      </patternFill>
    </fill>
    <fill>
      <patternFill patternType="solid">
        <fgColor rgb="FFDDEBF7"/>
        <bgColor/>
      </patternFill>
    </fill>
    <fill>
      <patternFill patternType="solid">
        <fgColor rgb="FF5B9BD5"/>
        <bgColor/>
      </patternFill>
    </fill>
    <fill>
      <patternFill patternType="solid">
        <fgColor rgb="FFE2EFDA"/>
        <bgColor/>
      </patternFill>
    </fill>
    <fill>
      <patternFill patternType="solid">
        <fgColor rgb="FF17365D"/>
        <bgColor/>
      </patternFill>
    </fill>
    <fill>
      <patternFill patternType="solid">
        <fgColor rgb="FFDDEBF7"/>
        <bgColor/>
      </patternFill>
    </fill>
    <fill>
      <patternFill patternType="solid">
        <fgColor rgb="FF5B9BD5"/>
        <bgColor/>
      </patternFill>
    </fill>
    <fill>
      <patternFill patternType="solid">
        <fgColor rgb="FFE2EFDA"/>
        <bgColor/>
      </patternFill>
    </fill>
    <fill>
      <patternFill patternType="solid">
        <fgColor rgb="FF17365D"/>
        <bgColor/>
      </patternFill>
    </fill>
    <fill>
      <patternFill patternType="solid">
        <fgColor rgb="FFDDEBF7"/>
        <bgColor/>
      </patternFill>
    </fill>
    <fill>
      <patternFill patternType="solid">
        <fgColor rgb="FF5B9BD5"/>
        <bgColor/>
      </patternFill>
    </fill>
    <fill>
      <patternFill patternType="solid">
        <fgColor rgb="FFE2EFDA"/>
        <bgColor/>
      </patternFill>
    </fill>
    <fill>
      <patternFill patternType="solid">
        <fgColor rgb="FFFFF2CC"/>
        <bgColor/>
      </patternFill>
    </fill>
    <fill>
      <patternFill patternType="solid">
        <fgColor rgb="FF17365D"/>
        <bgColor/>
      </patternFill>
    </fill>
    <fill>
      <patternFill patternType="solid">
        <fgColor rgb="FFDDEBF7"/>
        <bgColor/>
      </patternFill>
    </fill>
    <fill>
      <patternFill patternType="solid">
        <fgColor rgb="FF5B9BD5"/>
        <bgColor/>
      </patternFill>
    </fill>
    <fill>
      <patternFill patternType="solid">
        <fgColor rgb="FFE2EFDA"/>
        <bgColor/>
      </patternFill>
    </fill>
    <fill>
      <patternFill patternType="solid">
        <fgColor rgb="FFFFF2CC"/>
        <bgColor/>
      </patternFill>
    </fill>
    <fill>
      <patternFill patternType="solid">
        <fgColor rgb="FF17365D"/>
        <bgColor/>
      </patternFill>
    </fill>
    <fill>
      <patternFill patternType="solid">
        <fgColor rgb="FFDDEBF7"/>
        <bgColor/>
      </patternFill>
    </fill>
    <fill>
      <patternFill patternType="solid">
        <fgColor rgb="FF5B9BD5"/>
        <bgColor/>
      </patternFill>
    </fill>
    <fill>
      <patternFill patternType="solid">
        <fgColor rgb="FF17365D"/>
        <bgColor/>
      </patternFill>
    </fill>
    <fill>
      <patternFill patternType="solid">
        <fgColor rgb="FFDDEBF7"/>
        <bgColor/>
      </patternFill>
    </fill>
    <fill>
      <patternFill patternType="solid">
        <fgColor rgb="FF5B9BD5"/>
        <bgColor/>
      </patternFill>
    </fill>
    <fill>
      <patternFill patternType="solid">
        <fgColor rgb="FF17365D"/>
        <bgColor/>
      </patternFill>
    </fill>
    <fill>
      <patternFill patternType="solid">
        <fgColor rgb="FFDDEBF7"/>
        <bgColor/>
      </patternFill>
    </fill>
    <fill>
      <patternFill patternType="solid">
        <fgColor rgb="FF5B9BD5"/>
        <bgColor/>
      </patternFill>
    </fill>
    <fill>
      <patternFill patternType="solid">
        <fgColor rgb="FFFFF2CC"/>
        <bgColor/>
      </patternFill>
    </fill>
    <fill>
      <patternFill patternType="solid">
        <fgColor rgb="FFE2EFDA"/>
        <bgColor/>
      </patternFill>
    </fill>
    <fill>
      <patternFill patternType="solid">
        <fgColor rgb="FF17365D"/>
        <bgColor/>
      </patternFill>
    </fill>
    <fill>
      <patternFill patternType="solid">
        <fgColor rgb="FFDDEBF7"/>
        <bgColor/>
      </patternFill>
    </fill>
    <fill>
      <patternFill patternType="solid">
        <fgColor rgb="FF5B9BD5"/>
        <bgColor/>
      </patternFill>
    </fill>
    <fill>
      <patternFill patternType="solid">
        <fgColor rgb="FFFFF2CC"/>
        <bgColor/>
      </patternFill>
    </fill>
    <fill>
      <patternFill patternType="solid">
        <fgColor rgb="FFE2EFDA"/>
        <bgColor/>
      </patternFill>
    </fill>
    <fill>
      <patternFill patternType="solid">
        <fgColor rgb="FF1F4E79"/>
        <bgColor/>
      </patternFill>
    </fill>
    <fill>
      <patternFill patternType="solid">
        <fgColor rgb="FFDDEBF7"/>
        <bgColor/>
      </patternFill>
    </fill>
    <fill>
      <patternFill patternType="solid">
        <fgColor rgb="FF5B9BD5"/>
        <bgColor/>
      </patternFill>
    </fill>
    <fill>
      <patternFill patternType="solid">
        <fgColor rgb="FF1F4E79"/>
        <bgColor/>
      </patternFill>
    </fill>
    <fill>
      <patternFill patternType="solid">
        <fgColor rgb="FFDDEBF7"/>
        <bgColor/>
      </patternFill>
    </fill>
    <fill>
      <patternFill patternType="solid">
        <fgColor rgb="FF5B9BD5"/>
        <bgColor/>
      </patternFill>
    </fill>
    <fill>
      <patternFill patternType="solid">
        <fgColor rgb="FF1F4E79"/>
        <bgColor/>
      </patternFill>
    </fill>
    <fill>
      <patternFill patternType="solid">
        <fgColor rgb="FFDDEBF7"/>
        <bgColor/>
      </patternFill>
    </fill>
    <fill>
      <patternFill patternType="solid">
        <fgColor rgb="FF5B9BD5"/>
        <bgColor/>
      </patternFill>
    </fill>
    <fill>
      <patternFill patternType="solid">
        <fgColor rgb="FF1F4E79"/>
        <bgColor/>
      </patternFill>
    </fill>
    <fill>
      <patternFill patternType="solid">
        <fgColor rgb="FFDDEBF7"/>
        <bgColor/>
      </patternFill>
    </fill>
    <fill>
      <patternFill patternType="solid">
        <fgColor rgb="FF5B9BD5"/>
        <bgColor/>
      </patternFill>
    </fill>
    <fill>
      <patternFill patternType="solid">
        <fgColor rgb="FF1F4E79"/>
        <bgColor/>
      </patternFill>
    </fill>
    <fill>
      <patternFill patternType="solid">
        <fgColor rgb="FFDDEBF7"/>
        <bgColor/>
      </patternFill>
    </fill>
    <fill>
      <patternFill patternType="solid">
        <fgColor rgb="FF5B9BD5"/>
        <bgColor/>
      </patternFill>
    </fill>
    <fill>
      <patternFill patternType="solid">
        <fgColor rgb="FF1F4E79"/>
        <bgColor/>
      </patternFill>
    </fill>
    <fill>
      <patternFill patternType="solid">
        <fgColor rgb="FFDDEBF7"/>
        <bgColor/>
      </patternFill>
    </fill>
    <fill>
      <patternFill patternType="solid">
        <fgColor rgb="FF5B9BD5"/>
        <bgColor/>
      </patternFill>
    </fill>
    <fill>
      <patternFill patternType="solid">
        <fgColor rgb="FF1F4E79"/>
        <bgColor/>
      </patternFill>
    </fill>
    <fill>
      <patternFill patternType="solid">
        <fgColor rgb="FFDDEBF7"/>
        <bgColor/>
      </patternFill>
    </fill>
    <fill>
      <patternFill patternType="solid">
        <fgColor rgb="FF5B9BD5"/>
        <bgColor/>
      </patternFill>
    </fill>
    <fill>
      <patternFill patternType="solid">
        <fgColor rgb="FF1F4E79"/>
        <bgColor/>
      </patternFill>
    </fill>
    <fill>
      <patternFill patternType="solid">
        <fgColor rgb="FFDDEBF7"/>
        <bgColor/>
      </patternFill>
    </fill>
    <fill>
      <patternFill patternType="solid">
        <fgColor rgb="FF5B9BD5"/>
        <bgColor/>
      </patternFill>
    </fill>
    <fill>
      <patternFill patternType="solid">
        <fgColor rgb="FF1F4E79"/>
        <bgColor/>
      </patternFill>
    </fill>
    <fill>
      <patternFill patternType="solid">
        <fgColor rgb="FFDDEBF7"/>
        <bgColor/>
      </patternFill>
    </fill>
    <fill>
      <patternFill patternType="solid">
        <fgColor rgb="FF5B9BD5"/>
        <bgColor/>
      </patternFill>
    </fill>
    <fill>
      <patternFill patternType="solid">
        <fgColor rgb="FF1F4E79"/>
        <bgColor/>
      </patternFill>
    </fill>
    <fill>
      <patternFill patternType="solid">
        <fgColor rgb="FFDDEBF7"/>
        <bgColor/>
      </patternFill>
    </fill>
    <fill>
      <patternFill patternType="solid">
        <fgColor rgb="FF5B9BD5"/>
        <bgColor/>
      </patternFill>
    </fill>
  </fills>
  <borders count="37">
    <border>
      <left/>
      <right/>
      <top/>
      <bottom/>
      <diagonal/>
    </border>
    <border>
      <left style="thin">
        <color rgb="FFB8C7D9"/>
      </left>
      <right style="thin">
        <color rgb="FFB8C7D9"/>
      </right>
      <top style="thin">
        <color rgb="FFB8C7D9"/>
      </top>
      <bottom style="thin">
        <color rgb="FFB8C7D9"/>
      </bottom>
      <diagonal/>
    </border>
    <border>
      <left style="thin">
        <color rgb="FFB8C7D9"/>
      </left>
      <right style="thin">
        <color rgb="FFB8C7D9"/>
      </right>
      <top style="thin">
        <color rgb="FFB8C7D9"/>
      </top>
      <bottom style="thin">
        <color rgb="FFB8C7D9"/>
      </bottom>
      <diagonal/>
    </border>
    <border>
      <left style="thin">
        <color rgb="FFB8C7D9"/>
      </left>
      <right style="thin">
        <color rgb="FFB8C7D9"/>
      </right>
      <top style="thin">
        <color rgb="FFB8C7D9"/>
      </top>
      <bottom style="thin">
        <color rgb="FFB8C7D9"/>
      </bottom>
      <diagonal/>
    </border>
    <border>
      <left style="thin">
        <color rgb="FFB8C7D9"/>
      </left>
      <right style="thin">
        <color rgb="FFB8C7D9"/>
      </right>
      <top style="thin">
        <color rgb="FFB8C7D9"/>
      </top>
      <bottom style="thin">
        <color rgb="FFB8C7D9"/>
      </bottom>
      <diagonal/>
    </border>
    <border>
      <left style="thin">
        <color rgb="FFB8C7D9"/>
      </left>
      <right style="thin">
        <color rgb="FFB8C7D9"/>
      </right>
      <top style="thin">
        <color rgb="FFB8C7D9"/>
      </top>
      <bottom style="thin">
        <color rgb="FFB8C7D9"/>
      </bottom>
      <diagonal/>
    </border>
    <border>
      <left style="thin">
        <color rgb="FFB8C7D9"/>
      </left>
      <right style="thin">
        <color rgb="FFB8C7D9"/>
      </right>
      <top style="thin">
        <color rgb="FFB8C7D9"/>
      </top>
      <bottom style="thin">
        <color rgb="FFB8C7D9"/>
      </bottom>
      <diagonal/>
    </border>
    <border>
      <left style="thin">
        <color rgb="FFB8C7D9"/>
      </left>
      <right style="thin">
        <color rgb="FFB8C7D9"/>
      </right>
      <top style="thin">
        <color rgb="FFB8C7D9"/>
      </top>
      <bottom style="thin">
        <color rgb="FFB8C7D9"/>
      </bottom>
      <diagonal/>
    </border>
    <border>
      <left style="thin">
        <color rgb="FFB8C7D9"/>
      </left>
      <right style="thin">
        <color rgb="FFB8C7D9"/>
      </right>
      <top style="thin">
        <color rgb="FFB8C7D9"/>
      </top>
      <bottom style="thin">
        <color rgb="FFB8C7D9"/>
      </bottom>
      <diagonal/>
    </border>
    <border>
      <left style="thin">
        <color rgb="FFB8C7D9"/>
      </left>
      <right style="thin">
        <color rgb="FFB8C7D9"/>
      </right>
      <top style="thin">
        <color rgb="FFB8C7D9"/>
      </top>
      <bottom style="thin">
        <color rgb="FFB8C7D9"/>
      </bottom>
      <diagonal/>
    </border>
    <border>
      <left style="thin">
        <color rgb="FFB8C7D9"/>
      </left>
      <right style="thin">
        <color rgb="FFB8C7D9"/>
      </right>
      <top style="thin">
        <color rgb="FFB8C7D9"/>
      </top>
      <bottom style="thin">
        <color rgb="FFB8C7D9"/>
      </bottom>
      <diagonal/>
    </border>
    <border>
      <left style="thin">
        <color rgb="FFB8C7D9"/>
      </left>
      <right style="thin">
        <color rgb="FFB8C7D9"/>
      </right>
      <top style="thin">
        <color rgb="FFB8C7D9"/>
      </top>
      <bottom style="thin">
        <color rgb="FFB8C7D9"/>
      </bottom>
      <diagonal/>
    </border>
    <border>
      <left style="thin">
        <color rgb="FFB8C7D9"/>
      </left>
      <right style="thin">
        <color rgb="FFB8C7D9"/>
      </right>
      <top style="thin">
        <color rgb="FFB8C7D9"/>
      </top>
      <bottom style="thin">
        <color rgb="FFB8C7D9"/>
      </bottom>
      <diagonal/>
    </border>
    <border>
      <left style="thin">
        <color rgb="FFB8C7D9"/>
      </left>
      <right style="thin">
        <color rgb="FFB8C7D9"/>
      </right>
      <top style="thin">
        <color rgb="FFB8C7D9"/>
      </top>
      <bottom style="thin">
        <color rgb="FFB8C7D9"/>
      </bottom>
      <diagonal/>
    </border>
    <border>
      <left style="thin">
        <color rgb="FFB8C7D9"/>
      </left>
      <right style="thin">
        <color rgb="FFB8C7D9"/>
      </right>
      <top style="thin">
        <color rgb="FFB8C7D9"/>
      </top>
      <bottom style="thin">
        <color rgb="FFB8C7D9"/>
      </bottom>
      <diagonal/>
    </border>
    <border>
      <left style="thin">
        <color rgb="FFB8C7D9"/>
      </left>
      <right style="thin">
        <color rgb="FFB8C7D9"/>
      </right>
      <top style="thin">
        <color rgb="FFB8C7D9"/>
      </top>
      <bottom style="thin">
        <color rgb="FFB8C7D9"/>
      </bottom>
      <diagonal/>
    </border>
    <border>
      <left style="thin">
        <color rgb="FFB8C7D9"/>
      </left>
      <right style="thin">
        <color rgb="FFB8C7D9"/>
      </right>
      <top style="thin">
        <color rgb="FFB8C7D9"/>
      </top>
      <bottom style="thin">
        <color rgb="FFB8C7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8C7D9"/>
      </left>
      <right style="thin">
        <color rgb="FFB8C7D9"/>
      </right>
      <top style="thin">
        <color rgb="FFB8C7D9"/>
      </top>
      <bottom style="thin">
        <color rgb="FFB8C7D9"/>
      </bottom>
      <diagonal/>
    </border>
    <border>
      <left style="thin">
        <color rgb="FFB8C7D9"/>
      </left>
      <right style="thin">
        <color rgb="FFB8C7D9"/>
      </right>
      <top style="thin">
        <color rgb="FFB8C7D9"/>
      </top>
      <bottom style="thin">
        <color rgb="FFB8C7D9"/>
      </bottom>
      <diagonal/>
    </border>
    <border>
      <left style="thin">
        <color rgb="FFB8C7D9"/>
      </left>
      <right style="thin">
        <color rgb="FFB8C7D9"/>
      </right>
      <top style="thin">
        <color rgb="FFB8C7D9"/>
      </top>
      <bottom style="thin">
        <color rgb="FFB8C7D9"/>
      </bottom>
      <diagonal/>
    </border>
    <border>
      <left style="thin">
        <color rgb="FFB8C7D9"/>
      </left>
      <right style="thin">
        <color rgb="FFB8C7D9"/>
      </right>
      <top style="thin">
        <color rgb="FFB8C7D9"/>
      </top>
      <bottom style="thin">
        <color rgb="FFB8C7D9"/>
      </bottom>
      <diagonal/>
    </border>
    <border>
      <left style="thin">
        <color rgb="FFB8C7D9"/>
      </left>
      <right style="thin">
        <color rgb="FFB8C7D9"/>
      </right>
      <top style="thin">
        <color rgb="FFB8C7D9"/>
      </top>
      <bottom style="thin">
        <color rgb="FFB8C7D9"/>
      </bottom>
      <diagonal/>
    </border>
    <border>
      <left style="thin">
        <color rgb="FFB8C7D9"/>
      </left>
      <right style="thin">
        <color rgb="FFB8C7D9"/>
      </right>
      <top style="thin">
        <color rgb="FFB8C7D9"/>
      </top>
      <bottom style="thin">
        <color rgb="FFB8C7D9"/>
      </bottom>
      <diagonal/>
    </border>
    <border>
      <left style="thin">
        <color rgb="FFB8C7D9"/>
      </left>
      <right style="thin">
        <color rgb="FFB8C7D9"/>
      </right>
      <top style="thin">
        <color rgb="FFB8C7D9"/>
      </top>
      <bottom style="thin">
        <color rgb="FFB8C7D9"/>
      </bottom>
      <diagonal/>
    </border>
    <border>
      <left style="thin">
        <color rgb="FFB8C7D9"/>
      </left>
      <right style="thin">
        <color rgb="FFB8C7D9"/>
      </right>
      <top style="thin">
        <color rgb="FFB8C7D9"/>
      </top>
      <bottom style="thin">
        <color rgb="FFB8C7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366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1" fillId="2" fontId="1" numFmtId="0" xfId="0">
      <alignment horizontal="center" vertical="center" wrapText="true"/>
    </xf>
    <xf applyAlignment="true" applyBorder="false" applyFill="false" applyFont="true" applyNumberFormat="false" applyProtection="false" borderId="1" fillId="0" fontId="2" numFmtId="0" xfId="0">
      <alignment horizontal="left" vertical="center" wrapText="true"/>
    </xf>
    <xf applyAlignment="true" applyBorder="false" applyFill="true" applyFont="true" applyNumberFormat="false" applyProtection="false" borderId="1" fillId="3" fontId="3" numFmtId="0" xfId="0">
      <alignment horizontal="left" vertical="center" wrapText="true"/>
    </xf>
    <xf applyAlignment="true" applyBorder="false" applyFill="true" applyFont="true" applyNumberFormat="false" applyProtection="false" borderId="1" fillId="4" fontId="4" numFmtId="0" xfId="0">
      <alignment horizontal="center" vertical="center" wrapText="true"/>
    </xf>
    <xf applyAlignment="true" applyBorder="false" applyFill="false" applyFont="true" applyNumberFormat="false" applyProtection="false" borderId="2" fillId="0" fontId="5" numFmtId="0" xfId="0">
      <alignment vertical="center"/>
    </xf>
    <xf applyAlignment="true" applyBorder="false" applyFill="false" applyFont="true" applyNumberFormat="false" applyProtection="false" borderId="1" fillId="0" fontId="6" numFmtId="0" xfId="0">
      <alignment horizontal="center" vertical="center" wrapText="true"/>
    </xf>
    <xf applyAlignment="true" applyBorder="false" applyFill="false" applyFont="true" applyNumberFormat="false" applyProtection="false" borderId="1" fillId="0" fontId="6" numFmtId="0" xfId="0">
      <alignment horizontal="left" vertical="center" wrapText="true"/>
    </xf>
    <xf applyAlignment="true" applyBorder="false" applyFill="false" applyFont="true" applyNumberFormat="true" applyProtection="false" borderId="1" fillId="0" fontId="6" numFmtId="164" xfId="0">
      <alignment horizontal="center" vertical="center" wrapText="true"/>
    </xf>
    <xf applyAlignment="true" applyBorder="false" applyFill="false" applyFont="true" applyNumberFormat="true" applyProtection="false" borderId="1" fillId="0" fontId="6" numFmtId="165" xfId="0">
      <alignment horizontal="center" vertical="center" wrapText="true"/>
    </xf>
    <xf applyAlignment="true" applyBorder="false" applyFill="false" applyFont="true" applyNumberFormat="true" applyProtection="false" borderId="1" fillId="0" fontId="6" numFmtId="166" xfId="0">
      <alignment horizontal="center" vertical="center" wrapText="true"/>
    </xf>
    <xf applyAlignment="true" applyBorder="false" applyFill="false" applyFont="true" applyNumberFormat="true" applyProtection="false" borderId="1" fillId="0" fontId="6" numFmtId="167" xfId="0">
      <alignment horizontal="center" vertical="center" wrapText="true"/>
    </xf>
    <xf applyAlignment="true" applyBorder="false" applyFill="false" applyFont="true" applyNumberFormat="true" applyProtection="false" borderId="1" fillId="0" fontId="6" numFmtId="168" xfId="0">
      <alignment horizontal="center" vertical="center" wrapText="true"/>
    </xf>
    <xf applyAlignment="true" applyBorder="false" applyFill="true" applyFont="true" applyNumberFormat="false" applyProtection="false" borderId="2" fillId="3" fontId="7" numFmtId="0" xfId="0">
      <alignment horizontal="left" vertical="center"/>
    </xf>
    <xf applyAlignment="true" applyBorder="false" applyFill="true" applyFont="true" applyNumberFormat="false" applyProtection="false" borderId="2" fillId="4" fontId="8" numFmtId="0" xfId="0">
      <alignment horizontal="center" vertical="center"/>
    </xf>
    <xf applyAlignment="true" applyBorder="false" applyFill="true" applyFont="true" applyNumberFormat="false" applyProtection="false" borderId="3" fillId="5" fontId="1" numFmtId="0" xfId="0">
      <alignment horizontal="center" vertical="center" wrapText="true"/>
    </xf>
    <xf applyAlignment="true" applyBorder="false" applyFill="false" applyFont="true" applyNumberFormat="false" applyProtection="false" borderId="3" fillId="0" fontId="2" numFmtId="0" xfId="0">
      <alignment horizontal="left" vertical="center" wrapText="true"/>
    </xf>
    <xf applyAlignment="true" applyBorder="false" applyFill="true" applyFont="true" applyNumberFormat="false" applyProtection="false" borderId="3" fillId="6" fontId="4" numFmtId="0" xfId="0">
      <alignment horizontal="center" vertical="center" wrapText="true"/>
    </xf>
    <xf applyAlignment="true" applyBorder="false" applyFill="false" applyFont="true" applyNumberFormat="false" applyProtection="false" borderId="3" fillId="0" fontId="6" numFmtId="0" xfId="0">
      <alignment horizontal="center" vertical="center" wrapText="true"/>
    </xf>
    <xf applyAlignment="true" applyBorder="false" applyFill="false" applyFont="true" applyNumberFormat="false" applyProtection="false" borderId="3" fillId="0" fontId="6" numFmtId="0" xfId="0">
      <alignment horizontal="left" vertical="center" wrapText="true"/>
    </xf>
    <xf applyAlignment="true" applyBorder="false" applyFill="true" applyFont="true" applyNumberFormat="false" applyProtection="false" borderId="3" fillId="7" fontId="9" numFmtId="0" xfId="0">
      <alignment horizontal="center" vertical="center" wrapText="true"/>
    </xf>
    <xf applyAlignment="true" applyBorder="false" applyFill="true" applyFont="true" applyNumberFormat="false" applyProtection="false" borderId="3" fillId="8" fontId="9" numFmtId="0" xfId="0">
      <alignment horizontal="center" vertical="center" wrapText="true"/>
    </xf>
    <xf applyAlignment="true" applyBorder="false" applyFill="false" applyFont="true" applyNumberFormat="false" applyProtection="false" borderId="4" fillId="0" fontId="5" numFmtId="0" xfId="0">
      <alignment vertical="center"/>
    </xf>
    <xf applyAlignment="true" applyBorder="false" applyFill="true" applyFont="true" applyNumberFormat="false" applyProtection="false" borderId="5" fillId="9" fontId="1" numFmtId="0" xfId="0">
      <alignment horizontal="center" vertical="center" wrapText="true"/>
    </xf>
    <xf applyAlignment="true" applyBorder="false" applyFill="false" applyFont="true" applyNumberFormat="false" applyProtection="false" borderId="5" fillId="0" fontId="2" numFmtId="0" xfId="0">
      <alignment horizontal="left" vertical="center" wrapText="true"/>
    </xf>
    <xf applyAlignment="true" applyBorder="false" applyFill="true" applyFont="true" applyNumberFormat="false" applyProtection="false" borderId="5" fillId="10" fontId="3" numFmtId="0" xfId="0">
      <alignment horizontal="left" vertical="center" wrapText="true"/>
    </xf>
    <xf applyAlignment="true" applyBorder="false" applyFill="true" applyFont="true" applyNumberFormat="false" applyProtection="false" borderId="5" fillId="11" fontId="4" numFmtId="0" xfId="0">
      <alignment horizontal="center" vertical="center" wrapText="true"/>
    </xf>
    <xf applyAlignment="true" applyBorder="false" applyFill="false" applyFont="true" applyNumberFormat="false" applyProtection="false" borderId="6" fillId="0" fontId="5" numFmtId="0" xfId="0">
      <alignment vertical="center"/>
    </xf>
    <xf applyAlignment="true" applyBorder="false" applyFill="false" applyFont="true" applyNumberFormat="false" applyProtection="false" borderId="5" fillId="0" fontId="6" numFmtId="0" xfId="0">
      <alignment horizontal="center" vertical="center" wrapText="true"/>
    </xf>
    <xf applyAlignment="true" applyBorder="false" applyFill="false" applyFont="true" applyNumberFormat="false" applyProtection="false" borderId="5" fillId="0" fontId="6" numFmtId="0" xfId="0">
      <alignment horizontal="left" vertical="center" wrapText="true"/>
    </xf>
    <xf applyAlignment="true" applyBorder="false" applyFill="true" applyFont="true" applyNumberFormat="false" applyProtection="false" borderId="6" fillId="10" fontId="7" numFmtId="0" xfId="0">
      <alignment horizontal="left" vertical="center"/>
    </xf>
    <xf applyAlignment="true" applyBorder="false" applyFill="true" applyFont="true" applyNumberFormat="false" applyProtection="false" borderId="6" fillId="11" fontId="8" numFmtId="0" xfId="0">
      <alignment horizontal="center" vertical="center"/>
    </xf>
    <xf applyAlignment="true" applyBorder="false" applyFill="true" applyFont="true" applyNumberFormat="true" applyProtection="false" borderId="5" fillId="11" fontId="4" numFmtId="169" xfId="0">
      <alignment horizontal="center" vertical="center" wrapText="true"/>
    </xf>
    <xf applyAlignment="true" applyBorder="false" applyFill="true" applyFont="true" applyNumberFormat="true" applyProtection="false" borderId="5" fillId="11" fontId="4" numFmtId="170" xfId="0">
      <alignment horizontal="center" vertical="center" wrapText="true"/>
    </xf>
    <xf applyAlignment="true" applyBorder="false" applyFill="false" applyFont="true" applyNumberFormat="true" applyProtection="false" borderId="5" fillId="0" fontId="6" numFmtId="169" xfId="0">
      <alignment horizontal="center" vertical="center" wrapText="true"/>
    </xf>
    <xf applyAlignment="true" applyBorder="false" applyFill="false" applyFont="true" applyNumberFormat="true" applyProtection="false" borderId="5" fillId="0" fontId="6" numFmtId="170" xfId="0">
      <alignment horizontal="center" vertical="center" wrapText="true"/>
    </xf>
    <xf applyAlignment="true" applyBorder="false" applyFill="false" applyFont="true" applyNumberFormat="true" applyProtection="false" borderId="6" fillId="0" fontId="5" numFmtId="169" xfId="0">
      <alignment vertical="center"/>
    </xf>
    <xf applyAlignment="true" applyBorder="false" applyFill="false" applyFont="true" applyNumberFormat="true" applyProtection="false" borderId="6" fillId="0" fontId="5" numFmtId="170" xfId="0">
      <alignment vertical="center"/>
    </xf>
    <xf applyAlignment="true" applyBorder="false" applyFill="false" applyFont="true" applyNumberFormat="true" applyProtection="false" borderId="6" fillId="0" fontId="5" numFmtId="171" xfId="0">
      <alignment vertical="center"/>
    </xf>
    <xf applyAlignment="true" applyBorder="false" applyFill="true" applyFont="true" applyNumberFormat="true" applyProtection="false" borderId="5" fillId="11" fontId="4" numFmtId="171" xfId="0">
      <alignment horizontal="center" vertical="center" wrapText="true"/>
    </xf>
    <xf applyAlignment="true" applyBorder="false" applyFill="false" applyFont="true" applyNumberFormat="true" applyProtection="false" borderId="5" fillId="0" fontId="6" numFmtId="171" xfId="0">
      <alignment horizontal="center" vertical="center" wrapText="true"/>
    </xf>
    <xf applyAlignment="true" applyBorder="false" applyFill="false" applyFont="true" applyNumberFormat="true" applyProtection="false" borderId="5" fillId="0" fontId="6" numFmtId="169" xfId="0">
      <alignment horizontal="left" vertical="center" wrapText="true"/>
    </xf>
    <xf applyAlignment="true" applyBorder="false" applyFill="true" applyFont="true" applyNumberFormat="false" applyProtection="false" borderId="7" fillId="12" fontId="1" numFmtId="0" xfId="0">
      <alignment horizontal="center" vertical="center" wrapText="true"/>
    </xf>
    <xf applyAlignment="true" applyBorder="false" applyFill="false" applyFont="true" applyNumberFormat="false" applyProtection="false" borderId="7" fillId="0" fontId="2" numFmtId="0" xfId="0">
      <alignment horizontal="left" vertical="center" wrapText="true"/>
    </xf>
    <xf applyAlignment="true" applyBorder="false" applyFill="true" applyFont="true" applyNumberFormat="false" applyProtection="false" borderId="7" fillId="13" fontId="3" numFmtId="0" xfId="0">
      <alignment horizontal="left" vertical="center" wrapText="true"/>
    </xf>
    <xf applyAlignment="true" applyBorder="false" applyFill="true" applyFont="true" applyNumberFormat="false" applyProtection="false" borderId="7" fillId="14" fontId="4" numFmtId="0" xfId="0">
      <alignment horizontal="center" vertical="center" wrapText="true"/>
    </xf>
    <xf applyAlignment="true" applyBorder="false" applyFill="false" applyFont="true" applyNumberFormat="false" applyProtection="false" borderId="8" fillId="0" fontId="5" numFmtId="0" xfId="0">
      <alignment vertical="center"/>
    </xf>
    <xf applyAlignment="true" applyBorder="false" applyFill="false" applyFont="true" applyNumberFormat="false" applyProtection="false" borderId="7" fillId="0" fontId="6" numFmtId="0" xfId="0">
      <alignment horizontal="center" vertical="center" wrapText="true"/>
    </xf>
    <xf applyAlignment="true" applyBorder="false" applyFill="false" applyFont="true" applyNumberFormat="false" applyProtection="false" borderId="7" fillId="0" fontId="6" numFmtId="0" xfId="0">
      <alignment horizontal="left" vertical="center" wrapText="true"/>
    </xf>
    <xf applyAlignment="true" applyBorder="false" applyFill="true" applyFont="true" applyNumberFormat="false" applyProtection="false" borderId="8" fillId="13" fontId="7" numFmtId="0" xfId="0">
      <alignment horizontal="left" vertical="center"/>
    </xf>
    <xf applyAlignment="true" applyBorder="false" applyFill="true" applyFont="true" applyNumberFormat="false" applyProtection="false" borderId="8" fillId="14" fontId="8" numFmtId="0" xfId="0">
      <alignment horizontal="center" vertical="center"/>
    </xf>
    <xf applyAlignment="true" applyBorder="false" applyFill="true" applyFont="true" applyNumberFormat="true" applyProtection="false" borderId="7" fillId="14" fontId="4" numFmtId="172" xfId="0">
      <alignment horizontal="center" vertical="center" wrapText="true"/>
    </xf>
    <xf applyAlignment="true" applyBorder="false" applyFill="true" applyFont="true" applyNumberFormat="true" applyProtection="false" borderId="7" fillId="14" fontId="4" numFmtId="173" xfId="0">
      <alignment horizontal="center" vertical="center" wrapText="true"/>
    </xf>
    <xf applyAlignment="true" applyBorder="false" applyFill="true" applyFont="true" applyNumberFormat="false" applyProtection="false" borderId="8" fillId="15" fontId="10" numFmtId="0" xfId="0">
      <alignment vertical="center"/>
    </xf>
    <xf applyAlignment="true" applyBorder="false" applyFill="false" applyFont="true" applyNumberFormat="true" applyProtection="false" borderId="7" fillId="0" fontId="6" numFmtId="172" xfId="0">
      <alignment horizontal="center" vertical="center" wrapText="true"/>
    </xf>
    <xf applyAlignment="true" applyBorder="false" applyFill="true" applyFont="true" applyNumberFormat="true" applyProtection="false" borderId="7" fillId="15" fontId="9" numFmtId="173" xfId="0">
      <alignment horizontal="center" vertical="center" wrapText="true"/>
    </xf>
    <xf applyAlignment="true" applyBorder="false" applyFill="false" applyFont="true" applyNumberFormat="true" applyProtection="false" borderId="8" fillId="0" fontId="5" numFmtId="172" xfId="0">
      <alignment vertical="center"/>
    </xf>
    <xf applyAlignment="true" applyBorder="false" applyFill="false" applyFont="true" applyNumberFormat="true" applyProtection="false" borderId="8" fillId="0" fontId="5" numFmtId="173" xfId="0">
      <alignment vertical="center"/>
    </xf>
    <xf applyAlignment="true" applyBorder="false" applyFill="false" applyFont="true" applyNumberFormat="true" applyProtection="false" borderId="7" fillId="0" fontId="6" numFmtId="172" xfId="0">
      <alignment horizontal="left" vertical="center" wrapText="true"/>
    </xf>
    <xf applyAlignment="true" applyBorder="false" applyFill="true" applyFont="true" applyNumberFormat="false" applyProtection="false" borderId="8" fillId="16" fontId="5" numFmtId="0" xfId="0">
      <alignment vertical="center"/>
    </xf>
    <xf applyAlignment="true" applyBorder="false" applyFill="false" applyFont="true" applyNumberFormat="true" applyProtection="false" borderId="8" fillId="0" fontId="5" numFmtId="174" xfId="0">
      <alignment vertical="center"/>
    </xf>
    <xf applyAlignment="true" applyBorder="false" applyFill="true" applyFont="true" applyNumberFormat="false" applyProtection="false" borderId="9" fillId="17" fontId="1" numFmtId="0" xfId="0">
      <alignment horizontal="center" vertical="center" wrapText="true"/>
    </xf>
    <xf applyAlignment="true" applyBorder="false" applyFill="false" applyFont="true" applyNumberFormat="false" applyProtection="false" borderId="9" fillId="0" fontId="2" numFmtId="0" xfId="0">
      <alignment horizontal="left" vertical="center" wrapText="true"/>
    </xf>
    <xf applyAlignment="true" applyBorder="false" applyFill="true" applyFont="true" applyNumberFormat="false" applyProtection="false" borderId="9" fillId="18" fontId="3" numFmtId="0" xfId="0">
      <alignment horizontal="left" vertical="center" wrapText="true"/>
    </xf>
    <xf applyAlignment="true" applyBorder="false" applyFill="true" applyFont="true" applyNumberFormat="false" applyProtection="false" borderId="9" fillId="19" fontId="4" numFmtId="0" xfId="0">
      <alignment horizontal="center" vertical="center" wrapText="true"/>
    </xf>
    <xf applyAlignment="true" applyBorder="false" applyFill="false" applyFont="true" applyNumberFormat="false" applyProtection="false" borderId="10" fillId="0" fontId="5" numFmtId="0" xfId="0">
      <alignment vertical="center"/>
    </xf>
    <xf applyAlignment="true" applyBorder="false" applyFill="false" applyFont="true" applyNumberFormat="false" applyProtection="false" borderId="9" fillId="0" fontId="6" numFmtId="0" xfId="0">
      <alignment horizontal="center" vertical="center" wrapText="true"/>
    </xf>
    <xf applyAlignment="true" applyBorder="false" applyFill="false" applyFont="true" applyNumberFormat="false" applyProtection="false" borderId="9" fillId="0" fontId="6" numFmtId="0" xfId="0">
      <alignment horizontal="left" vertical="center" wrapText="true"/>
    </xf>
    <xf applyAlignment="true" applyBorder="false" applyFill="true" applyFont="true" applyNumberFormat="false" applyProtection="false" borderId="10" fillId="18" fontId="7" numFmtId="0" xfId="0">
      <alignment horizontal="left" vertical="center"/>
    </xf>
    <xf applyAlignment="true" applyBorder="false" applyFill="true" applyFont="true" applyNumberFormat="false" applyProtection="false" borderId="10" fillId="19" fontId="8" numFmtId="0" xfId="0">
      <alignment horizontal="center" vertical="center"/>
    </xf>
    <xf applyAlignment="true" applyBorder="false" applyFill="false" applyFont="true" applyNumberFormat="true" applyProtection="false" borderId="10" fillId="0" fontId="5" numFmtId="175" xfId="0">
      <alignment vertical="center"/>
    </xf>
    <xf applyAlignment="true" applyBorder="false" applyFill="true" applyFont="true" applyNumberFormat="true" applyProtection="false" borderId="9" fillId="19" fontId="4" numFmtId="175" xfId="0">
      <alignment horizontal="center" vertical="center" wrapText="true"/>
    </xf>
    <xf applyAlignment="true" applyBorder="false" applyFill="true" applyFont="true" applyNumberFormat="false" applyProtection="false" borderId="10" fillId="20" fontId="10" numFmtId="0" xfId="0">
      <alignment vertical="center"/>
    </xf>
    <xf applyAlignment="true" applyBorder="false" applyFill="false" applyFont="true" applyNumberFormat="true" applyProtection="false" borderId="9" fillId="0" fontId="6" numFmtId="175" xfId="0">
      <alignment horizontal="left" vertical="center" wrapText="true"/>
    </xf>
    <xf applyAlignment="true" applyBorder="false" applyFill="false" applyFont="true" applyNumberFormat="true" applyProtection="false" borderId="9" fillId="0" fontId="6" numFmtId="175" xfId="0">
      <alignment horizontal="center" vertical="center" wrapText="true"/>
    </xf>
    <xf applyAlignment="true" applyBorder="false" applyFill="false" applyFont="true" applyNumberFormat="true" applyProtection="false" borderId="9" fillId="0" fontId="6" numFmtId="176" xfId="0">
      <alignment horizontal="left" vertical="center" wrapText="true"/>
    </xf>
    <xf applyAlignment="true" applyBorder="false" applyFill="false" applyFont="true" applyNumberFormat="true" applyProtection="false" borderId="9" fillId="0" fontId="6" numFmtId="177" xfId="0">
      <alignment horizontal="center" vertical="center" wrapText="true"/>
    </xf>
    <xf applyAlignment="true" applyBorder="false" applyFill="false" applyFont="true" applyNumberFormat="true" applyProtection="false" borderId="10" fillId="0" fontId="5" numFmtId="176" xfId="0">
      <alignment vertical="center"/>
    </xf>
    <xf applyAlignment="true" applyBorder="false" applyFill="false" applyFont="true" applyNumberFormat="true" applyProtection="false" borderId="10" fillId="0" fontId="5" numFmtId="177" xfId="0">
      <alignment vertical="center"/>
    </xf>
    <xf applyAlignment="true" applyBorder="false" applyFill="true" applyFont="true" applyNumberFormat="false" applyProtection="false" borderId="11" fillId="21" fontId="1" numFmtId="0" xfId="0">
      <alignment horizontal="center" vertical="center" wrapText="true"/>
    </xf>
    <xf applyAlignment="true" applyBorder="false" applyFill="false" applyFont="true" applyNumberFormat="false" applyProtection="false" borderId="11" fillId="0" fontId="2" numFmtId="0" xfId="0">
      <alignment horizontal="left" vertical="center" wrapText="true"/>
    </xf>
    <xf applyAlignment="true" applyBorder="false" applyFill="true" applyFont="true" applyNumberFormat="false" applyProtection="false" borderId="11" fillId="22" fontId="3" numFmtId="0" xfId="0">
      <alignment horizontal="left" vertical="center" wrapText="true"/>
    </xf>
    <xf applyAlignment="true" applyBorder="false" applyFill="true" applyFont="true" applyNumberFormat="false" applyProtection="false" borderId="11" fillId="23" fontId="4" numFmtId="0" xfId="0">
      <alignment horizontal="center" vertical="center" wrapText="true"/>
    </xf>
    <xf applyAlignment="true" applyBorder="false" applyFill="false" applyFont="true" applyNumberFormat="false" applyProtection="false" borderId="11" fillId="0" fontId="6" numFmtId="0" xfId="0">
      <alignment horizontal="center" vertical="center" wrapText="true"/>
    </xf>
    <xf applyAlignment="true" applyBorder="false" applyFill="false" applyFont="true" applyNumberFormat="false" applyProtection="false" borderId="11" fillId="0" fontId="6" numFmtId="0" xfId="0">
      <alignment horizontal="left" vertical="center" wrapText="true"/>
    </xf>
    <xf applyAlignment="true" applyBorder="false" applyFill="true" applyFont="true" applyNumberFormat="false" applyProtection="false" borderId="12" fillId="22" fontId="7" numFmtId="0" xfId="0">
      <alignment horizontal="left" vertical="center"/>
    </xf>
    <xf applyAlignment="true" applyBorder="false" applyFill="true" applyFont="true" applyNumberFormat="false" applyProtection="false" borderId="12" fillId="23" fontId="8" numFmtId="0" xfId="0">
      <alignment horizontal="center" vertical="center"/>
    </xf>
    <xf applyAlignment="true" applyBorder="false" applyFill="true" applyFont="true" applyNumberFormat="true" applyProtection="false" borderId="11" fillId="23" fontId="4" numFmtId="178" xfId="0">
      <alignment horizontal="center" vertical="center" wrapText="true"/>
    </xf>
    <xf applyAlignment="true" applyBorder="false" applyFill="true" applyFont="true" applyNumberFormat="true" applyProtection="false" borderId="11" fillId="23" fontId="4" numFmtId="179" xfId="0">
      <alignment horizontal="center" vertical="center" wrapText="true"/>
    </xf>
    <xf applyAlignment="true" applyBorder="false" applyFill="true" applyFont="true" applyNumberFormat="true" applyProtection="false" borderId="11" fillId="23" fontId="4" numFmtId="180" xfId="0">
      <alignment horizontal="center" vertical="center" wrapText="true"/>
    </xf>
    <xf applyAlignment="true" applyBorder="false" applyFill="true" applyFont="true" applyNumberFormat="false" applyProtection="false" borderId="11" fillId="24" fontId="4" numFmtId="0" xfId="0">
      <alignment horizontal="center" vertical="center" wrapText="true"/>
    </xf>
    <xf applyAlignment="true" applyBorder="false" applyFill="false" applyFont="true" applyNumberFormat="true" applyProtection="false" borderId="11" fillId="0" fontId="6" numFmtId="178" xfId="0">
      <alignment horizontal="center" vertical="center" wrapText="true"/>
    </xf>
    <xf applyAlignment="true" applyBorder="false" applyFill="false" applyFont="true" applyNumberFormat="true" applyProtection="false" borderId="11" fillId="0" fontId="6" numFmtId="179" xfId="0">
      <alignment horizontal="center" vertical="center" wrapText="true"/>
    </xf>
    <xf applyAlignment="true" applyBorder="false" applyFill="false" applyFont="true" applyNumberFormat="true" applyProtection="false" borderId="11" fillId="0" fontId="6" numFmtId="180" xfId="0">
      <alignment horizontal="center" vertical="center" wrapText="true"/>
    </xf>
    <xf applyAlignment="true" applyBorder="false" applyFill="true" applyFont="true" applyNumberFormat="false" applyProtection="false" borderId="11" fillId="24" fontId="9" numFmtId="0" xfId="0">
      <alignment horizontal="center" vertical="center" wrapText="true"/>
    </xf>
    <xf applyAlignment="true" applyBorder="false" applyFill="true" applyFont="true" applyNumberFormat="false" applyProtection="false" borderId="11" fillId="24" fontId="9" numFmtId="0" xfId="0">
      <alignment horizontal="left" vertical="center" wrapText="true"/>
    </xf>
    <xf applyAlignment="true" applyBorder="false" applyFill="false" applyFont="true" applyNumberFormat="false" applyProtection="false" borderId="11" fillId="0" fontId="6" numFmtId="0" xfId="0">
      <alignment horizontal="center" vertical="center" wrapText="true"/>
    </xf>
    <xf applyAlignment="true" applyBorder="false" applyFill="false" applyFont="true" applyNumberFormat="false" applyProtection="false" borderId="11" fillId="0" fontId="6" numFmtId="0" xfId="0">
      <alignment horizontal="left" vertical="center" wrapText="true"/>
    </xf>
    <xf applyAlignment="true" applyBorder="false" applyFill="true" applyFont="true" applyNumberFormat="false" applyProtection="false" borderId="11" fillId="24" fontId="9" numFmtId="0" xfId="0">
      <alignment horizontal="center" vertical="center" wrapText="true"/>
    </xf>
    <xf applyAlignment="true" applyBorder="false" applyFill="true" applyFont="true" applyNumberFormat="false" applyProtection="false" borderId="13" fillId="25" fontId="1" numFmtId="0" xfId="0">
      <alignment horizontal="center" vertical="center" wrapText="true"/>
    </xf>
    <xf applyAlignment="true" applyBorder="false" applyFill="false" applyFont="true" applyNumberFormat="false" applyProtection="false" borderId="13" fillId="0" fontId="2" numFmtId="0" xfId="0">
      <alignment horizontal="left" vertical="center" wrapText="true"/>
    </xf>
    <xf applyAlignment="true" applyBorder="false" applyFill="true" applyFont="true" applyNumberFormat="false" applyProtection="false" borderId="13" fillId="26" fontId="3" numFmtId="0" xfId="0">
      <alignment horizontal="left" vertical="center" wrapText="true"/>
    </xf>
    <xf applyAlignment="true" applyBorder="false" applyFill="true" applyFont="true" applyNumberFormat="false" applyProtection="false" borderId="13" fillId="27" fontId="4" numFmtId="0" xfId="0">
      <alignment horizontal="center" vertical="center" wrapText="true"/>
    </xf>
    <xf applyAlignment="true" applyBorder="false" applyFill="false" applyFont="true" applyNumberFormat="false" applyProtection="false" borderId="13" fillId="0" fontId="6" numFmtId="0" xfId="0">
      <alignment horizontal="center" vertical="center" wrapText="true"/>
    </xf>
    <xf applyAlignment="true" applyBorder="false" applyFill="false" applyFont="true" applyNumberFormat="false" applyProtection="false" borderId="13" fillId="0" fontId="6" numFmtId="0" xfId="0">
      <alignment horizontal="left" vertical="center" wrapText="true"/>
    </xf>
    <xf applyAlignment="true" applyBorder="false" applyFill="false" applyFont="true" applyNumberFormat="true" applyProtection="false" borderId="13" fillId="0" fontId="6" numFmtId="181" xfId="0">
      <alignment horizontal="center" vertical="center" wrapText="true"/>
    </xf>
    <xf applyAlignment="true" applyBorder="false" applyFill="true" applyFont="true" applyNumberFormat="false" applyProtection="false" borderId="13" fillId="28" fontId="9" numFmtId="0" xfId="0">
      <alignment horizontal="center" vertical="center" wrapText="true"/>
    </xf>
    <xf applyAlignment="true" applyBorder="false" applyFill="true" applyFont="true" applyNumberFormat="false" applyProtection="false" borderId="13" fillId="29" fontId="6" numFmtId="0" xfId="0">
      <alignment horizontal="center" vertical="center" wrapText="true"/>
    </xf>
    <xf applyAlignment="true" applyBorder="false" applyFill="true" applyFont="true" applyNumberFormat="false" applyProtection="false" borderId="13" fillId="28" fontId="9" numFmtId="0" xfId="0">
      <alignment horizontal="left" vertical="center" wrapText="true"/>
    </xf>
    <xf applyAlignment="true" applyBorder="false" applyFill="false" applyFont="true" applyNumberFormat="false" applyProtection="false" borderId="14" fillId="0" fontId="5" numFmtId="0" xfId="0">
      <alignment vertical="center"/>
    </xf>
    <xf applyAlignment="true" applyBorder="false" applyFill="false" applyFont="true" applyNumberFormat="true" applyProtection="false" borderId="14" fillId="0" fontId="5" numFmtId="181" xfId="0">
      <alignment vertical="center"/>
    </xf>
    <xf applyAlignment="true" applyBorder="false" applyFill="true" applyFont="true" applyNumberFormat="false" applyProtection="false" borderId="14" fillId="28" fontId="10" numFmtId="0" xfId="0">
      <alignment vertical="center"/>
    </xf>
    <xf applyAlignment="true" applyBorder="false" applyFill="false" applyFont="true" applyNumberFormat="true" applyProtection="false" borderId="13" fillId="0" fontId="6" numFmtId="182" xfId="0">
      <alignment horizontal="left" vertical="center" wrapText="true"/>
    </xf>
    <xf applyAlignment="true" applyBorder="false" applyFill="false" applyFont="true" applyNumberFormat="true" applyProtection="false" borderId="13" fillId="0" fontId="6" numFmtId="183" xfId="0">
      <alignment horizontal="left" vertical="center" wrapText="true"/>
    </xf>
    <xf applyAlignment="true" applyBorder="false" applyFill="false" applyFont="true" applyNumberFormat="true" applyProtection="false" borderId="13" fillId="0" fontId="6" numFmtId="183" xfId="0">
      <alignment horizontal="center" vertical="center" wrapText="true"/>
    </xf>
    <xf applyAlignment="true" applyBorder="false" applyFill="false" applyFont="true" applyNumberFormat="true" applyProtection="false" borderId="13" fillId="0" fontId="6" numFmtId="184" xfId="0">
      <alignment horizontal="left" vertical="center" wrapText="true"/>
    </xf>
    <xf applyAlignment="true" applyBorder="false" applyFill="false" applyFont="true" applyNumberFormat="true" applyProtection="false" borderId="13" fillId="0" fontId="6" numFmtId="182" xfId="0">
      <alignment horizontal="center" vertical="center" wrapText="true"/>
    </xf>
    <xf applyAlignment="true" applyBorder="false" applyFill="false" applyFont="true" applyNumberFormat="true" applyProtection="false" borderId="13" fillId="0" fontId="6" numFmtId="185" xfId="0">
      <alignment horizontal="center" vertical="center" wrapText="true"/>
    </xf>
    <xf applyAlignment="true" applyBorder="false" applyFill="true" applyFont="true" applyNumberFormat="false" applyProtection="false" borderId="14" fillId="26" fontId="7" numFmtId="0" xfId="0">
      <alignment horizontal="left" vertical="center"/>
    </xf>
    <xf applyAlignment="true" applyBorder="false" applyFill="true" applyFont="true" applyNumberFormat="false" applyProtection="false" borderId="14" fillId="27" fontId="8" numFmtId="0" xfId="0">
      <alignment horizontal="center" vertical="center"/>
    </xf>
    <xf applyAlignment="true" applyBorder="false" applyFill="false" applyFont="true" applyNumberFormat="true" applyProtection="false" borderId="14" fillId="0" fontId="5" numFmtId="182" xfId="0">
      <alignment vertical="center"/>
    </xf>
    <xf applyAlignment="true" applyBorder="false" applyFill="false" applyFont="true" applyNumberFormat="true" applyProtection="false" borderId="14" fillId="0" fontId="5" numFmtId="183" xfId="0">
      <alignment vertical="center"/>
    </xf>
    <xf applyAlignment="true" applyBorder="false" applyFill="false" applyFont="true" applyNumberFormat="true" applyProtection="false" borderId="14" fillId="0" fontId="5" numFmtId="185" xfId="0">
      <alignment vertical="center"/>
    </xf>
    <xf applyAlignment="true" applyBorder="false" applyFill="true" applyFont="true" applyNumberFormat="false" applyProtection="false" borderId="15" fillId="30" fontId="1" numFmtId="0" xfId="0">
      <alignment horizontal="center" vertical="center" wrapText="true"/>
    </xf>
    <xf applyAlignment="true" applyBorder="false" applyFill="false" applyFont="true" applyNumberFormat="false" applyProtection="false" borderId="15" fillId="0" fontId="2" numFmtId="0" xfId="0">
      <alignment horizontal="left" vertical="center" wrapText="true"/>
    </xf>
    <xf applyAlignment="true" applyBorder="false" applyFill="true" applyFont="true" applyNumberFormat="false" applyProtection="false" borderId="15" fillId="31" fontId="3" numFmtId="0" xfId="0">
      <alignment horizontal="left" vertical="center" wrapText="true"/>
    </xf>
    <xf applyAlignment="true" applyBorder="false" applyFill="true" applyFont="true" applyNumberFormat="false" applyProtection="false" borderId="15" fillId="32" fontId="4" numFmtId="0" xfId="0">
      <alignment horizontal="center" vertical="center" wrapText="true"/>
    </xf>
    <xf applyAlignment="true" applyBorder="false" applyFill="false" applyFont="true" applyNumberFormat="false" applyProtection="false" borderId="16" fillId="0" fontId="5" numFmtId="0" xfId="0">
      <alignment vertical="center"/>
    </xf>
    <xf applyAlignment="true" applyBorder="false" applyFill="false" applyFont="true" applyNumberFormat="false" applyProtection="false" borderId="15" fillId="0" fontId="6" numFmtId="0" xfId="0">
      <alignment horizontal="center" vertical="center" wrapText="true"/>
    </xf>
    <xf applyAlignment="true" applyBorder="false" applyFill="false" applyFont="true" applyNumberFormat="false" applyProtection="false" borderId="15" fillId="0" fontId="6" numFmtId="0" xfId="0">
      <alignment horizontal="left" vertical="center" wrapText="true"/>
    </xf>
    <xf applyAlignment="true" applyBorder="false" applyFill="true" applyFont="true" applyNumberFormat="false" applyProtection="false" borderId="16" fillId="31" fontId="7" numFmtId="0" xfId="0">
      <alignment horizontal="left" vertical="center"/>
    </xf>
    <xf applyAlignment="true" applyBorder="false" applyFill="true" applyFont="true" applyNumberFormat="false" applyProtection="false" borderId="16" fillId="32" fontId="8" numFmtId="0" xfId="0">
      <alignment horizontal="center" vertical="center"/>
    </xf>
    <xf applyAlignment="true" applyBorder="false" applyFill="true" applyFont="true" applyNumberFormat="true" applyProtection="false" borderId="15" fillId="32" fontId="4" numFmtId="186" xfId="0">
      <alignment horizontal="center" vertical="center" wrapText="true"/>
    </xf>
    <xf applyAlignment="true" applyBorder="false" applyFill="true" applyFont="true" applyNumberFormat="false" applyProtection="false" borderId="15" fillId="33" fontId="4" numFmtId="0" xfId="0">
      <alignment horizontal="center" vertical="center" wrapText="true"/>
    </xf>
    <xf applyAlignment="true" applyBorder="false" applyFill="false" applyFont="true" applyNumberFormat="true" applyProtection="false" borderId="15" fillId="0" fontId="6" numFmtId="186" xfId="0">
      <alignment horizontal="center" vertical="center" wrapText="true"/>
    </xf>
    <xf applyAlignment="true" applyBorder="false" applyFill="true" applyFont="true" applyNumberFormat="false" applyProtection="false" borderId="15" fillId="33" fontId="9" numFmtId="0" xfId="0">
      <alignment horizontal="center" vertical="center" wrapText="true"/>
    </xf>
    <xf applyAlignment="true" applyBorder="false" applyFill="true" applyFont="true" applyNumberFormat="false" applyProtection="false" borderId="15" fillId="34" fontId="9" numFmtId="0" xfId="0">
      <alignment horizontal="center" vertical="center" wrapText="true"/>
    </xf>
    <xf applyAlignment="true" applyBorder="false" applyFill="false" applyFont="true" applyNumberFormat="true" applyProtection="false" borderId="16" fillId="0" fontId="5" numFmtId="186" xfId="0">
      <alignment vertical="center"/>
    </xf>
    <xf applyAlignment="true" applyBorder="false" applyFill="true" applyFont="true" applyNumberFormat="false" applyProtection="false" borderId="16" fillId="33" fontId="10" numFmtId="0" xfId="0">
      <alignment vertical="center"/>
    </xf>
    <xf applyAlignment="true" applyBorder="false" applyFill="false" applyFont="true" applyNumberFormat="true" applyProtection="false" borderId="15" fillId="0" fontId="6" numFmtId="187" xfId="0">
      <alignment horizontal="left" vertical="center" wrapText="true"/>
    </xf>
    <xf applyAlignment="true" applyBorder="false" applyFill="false" applyFont="true" applyNumberFormat="true" applyProtection="false" borderId="15" fillId="0" fontId="6" numFmtId="188" xfId="0">
      <alignment horizontal="left" vertical="center" wrapText="true"/>
    </xf>
    <xf applyAlignment="true" applyBorder="false" applyFill="false" applyFont="true" applyNumberFormat="true" applyProtection="false" borderId="15" fillId="0" fontId="6" numFmtId="189" xfId="0">
      <alignment horizontal="left" vertical="center" wrapText="true"/>
    </xf>
    <xf applyAlignment="true" applyBorder="false" applyFill="false" applyFont="true" applyNumberFormat="true" applyProtection="false" borderId="16" fillId="0" fontId="5" numFmtId="187" xfId="0">
      <alignment vertical="center"/>
    </xf>
    <xf applyAlignment="true" applyBorder="false" applyFill="false" applyFont="true" applyNumberFormat="true" applyProtection="false" borderId="16" fillId="0" fontId="5" numFmtId="188" xfId="0">
      <alignment vertical="center"/>
    </xf>
    <xf applyAlignment="true" applyBorder="false" applyFill="true" applyFont="true" applyNumberFormat="false" applyProtection="false" borderId="0" fillId="31" fontId="3" numFmtId="0" xfId="0">
      <alignment horizontal="left" vertical="center"/>
    </xf>
    <xf applyAlignment="true" applyBorder="false" applyFill="true" applyFont="true" applyNumberFormat="false" applyProtection="false" borderId="17" fillId="32" fontId="12" numFmtId="0" xfId="0">
      <alignment horizontal="center" vertical="center"/>
    </xf>
    <xf applyAlignment="true" applyBorder="false" applyFill="false" applyFont="true" applyNumberFormat="false" applyProtection="false" borderId="17" fillId="0" fontId="5" numFmtId="0" xfId="0">
      <alignment vertical="center"/>
    </xf>
    <xf applyAlignment="true" applyBorder="false" applyFill="false" applyFont="true" applyNumberFormat="true" applyProtection="false" borderId="17" fillId="0" fontId="5" numFmtId="189" xfId="0">
      <alignment vertical="center"/>
    </xf>
    <xf applyAlignment="true" applyBorder="false" applyFill="false" applyFont="true" applyNumberFormat="true" applyProtection="false" borderId="17" fillId="0" fontId="5" numFmtId="190" xfId="0">
      <alignment vertical="center"/>
    </xf>
    <xf applyAlignment="true" applyBorder="false" applyFill="false" applyFont="true" applyNumberFormat="true" applyProtection="false" borderId="17" fillId="0" fontId="5" numFmtId="188" xfId="0">
      <alignment vertical="center"/>
    </xf>
    <xf applyAlignment="true" applyBorder="false" applyFill="true" applyFont="true" applyNumberFormat="false" applyProtection="false" borderId="17" fillId="31" fontId="3" numFmtId="0" xfId="0">
      <alignment horizontal="left" vertical="center"/>
    </xf>
    <xf applyAlignment="true" applyBorder="false" applyFill="true" applyFont="true" applyNumberFormat="false" applyProtection="false" borderId="18" fillId="35" fontId="1" numFmtId="0" xfId="0">
      <alignment horizontal="center" vertical="center" wrapText="true"/>
    </xf>
    <xf applyAlignment="true" applyBorder="false" applyFill="false" applyFont="true" applyNumberFormat="false" applyProtection="false" borderId="18" fillId="0" fontId="2" numFmtId="0" xfId="0">
      <alignment horizontal="left" vertical="center" wrapText="true"/>
    </xf>
    <xf applyAlignment="true" applyBorder="false" applyFill="true" applyFont="true" applyNumberFormat="false" applyProtection="false" borderId="18" fillId="36" fontId="3" numFmtId="0" xfId="0">
      <alignment horizontal="left" vertical="center" wrapText="true"/>
    </xf>
    <xf applyAlignment="true" applyBorder="false" applyFill="true" applyFont="true" applyNumberFormat="false" applyProtection="false" borderId="18" fillId="37" fontId="4" numFmtId="0" xfId="0">
      <alignment horizontal="center" vertical="center" wrapText="true"/>
    </xf>
    <xf applyAlignment="true" applyBorder="false" applyFill="false" applyFont="true" applyNumberFormat="false" applyProtection="false" borderId="19" fillId="0" fontId="5" numFmtId="0" xfId="0">
      <alignment vertical="center"/>
    </xf>
    <xf applyAlignment="true" applyBorder="false" applyFill="false" applyFont="true" applyNumberFormat="false" applyProtection="false" borderId="18" fillId="0" fontId="6" numFmtId="0" xfId="0">
      <alignment horizontal="center" vertical="center" wrapText="true"/>
    </xf>
    <xf applyAlignment="true" applyBorder="false" applyFill="false" applyFont="true" applyNumberFormat="false" applyProtection="false" borderId="18" fillId="0" fontId="6" numFmtId="0" xfId="0">
      <alignment horizontal="left" vertical="center" wrapText="true"/>
    </xf>
    <xf applyAlignment="true" applyBorder="false" applyFill="true" applyFont="true" applyNumberFormat="false" applyProtection="false" borderId="19" fillId="36" fontId="7" numFmtId="0" xfId="0">
      <alignment horizontal="left" vertical="center"/>
    </xf>
    <xf applyAlignment="true" applyBorder="false" applyFill="true" applyFont="true" applyNumberFormat="false" applyProtection="false" borderId="19" fillId="37" fontId="8" numFmtId="0" xfId="0">
      <alignment horizontal="center" vertical="center"/>
    </xf>
    <xf applyAlignment="true" applyBorder="false" applyFill="true" applyFont="true" applyNumberFormat="true" applyProtection="false" borderId="18" fillId="37" fontId="4" numFmtId="191" xfId="0">
      <alignment horizontal="center" vertical="center" wrapText="true"/>
    </xf>
    <xf applyAlignment="true" applyBorder="false" applyFill="true" applyFont="true" applyNumberFormat="true" applyProtection="false" borderId="18" fillId="37" fontId="4" numFmtId="192" xfId="0">
      <alignment horizontal="center" vertical="center" wrapText="true"/>
    </xf>
    <xf applyAlignment="true" applyBorder="false" applyFill="false" applyFont="true" applyNumberFormat="true" applyProtection="false" borderId="19" fillId="0" fontId="5" numFmtId="193" xfId="0">
      <alignment vertical="center"/>
    </xf>
    <xf applyAlignment="true" applyBorder="false" applyFill="false" applyFont="true" applyNumberFormat="true" applyProtection="false" borderId="19" fillId="0" fontId="5" numFmtId="194" xfId="0">
      <alignment vertical="center"/>
    </xf>
    <xf applyAlignment="true" applyBorder="false" applyFill="false" applyFont="true" applyNumberFormat="true" applyProtection="false" borderId="18" fillId="0" fontId="6" numFmtId="191" xfId="0">
      <alignment horizontal="center" vertical="center" wrapText="true"/>
    </xf>
    <xf applyAlignment="true" applyBorder="false" applyFill="false" applyFont="true" applyNumberFormat="true" applyProtection="false" borderId="18" fillId="0" fontId="6" numFmtId="192" xfId="0">
      <alignment horizontal="center" vertical="center" wrapText="true"/>
    </xf>
    <xf applyAlignment="true" applyBorder="false" applyFill="false" applyFont="true" applyNumberFormat="true" applyProtection="false" borderId="18" fillId="0" fontId="6" numFmtId="193" xfId="0">
      <alignment horizontal="center" vertical="center" wrapText="true"/>
    </xf>
    <xf applyAlignment="true" applyBorder="false" applyFill="false" applyFont="true" applyNumberFormat="true" applyProtection="false" borderId="18" fillId="0" fontId="6" numFmtId="195" xfId="0">
      <alignment horizontal="center" vertical="center" wrapText="true"/>
    </xf>
    <xf applyAlignment="true" applyBorder="false" applyFill="false" applyFont="true" applyNumberFormat="true" applyProtection="false" borderId="18" fillId="0" fontId="6" numFmtId="192" xfId="0">
      <alignment horizontal="left" vertical="center" wrapText="true"/>
    </xf>
    <xf applyAlignment="true" applyBorder="false" applyFill="false" applyFont="true" applyNumberFormat="true" applyProtection="false" borderId="19" fillId="0" fontId="5" numFmtId="192" xfId="0">
      <alignment vertical="center"/>
    </xf>
    <xf applyAlignment="true" applyBorder="false" applyFill="true" applyFont="true" applyNumberFormat="false" applyProtection="false" borderId="20" fillId="38" fontId="1" numFmtId="0" xfId="0">
      <alignment horizontal="center" vertical="center" wrapText="true"/>
    </xf>
    <xf applyAlignment="true" applyBorder="false" applyFill="false" applyFont="true" applyNumberFormat="false" applyProtection="false" borderId="21" fillId="0" fontId="5" numFmtId="0" xfId="0">
      <alignment vertical="center"/>
    </xf>
    <xf applyAlignment="true" applyBorder="false" applyFill="false" applyFont="true" applyNumberFormat="false" applyProtection="false" borderId="20" fillId="0" fontId="2" numFmtId="0" xfId="0">
      <alignment horizontal="left" vertical="center" wrapText="true"/>
    </xf>
    <xf applyAlignment="true" applyBorder="false" applyFill="true" applyFont="true" applyNumberFormat="false" applyProtection="false" borderId="20" fillId="39" fontId="3" numFmtId="0" xfId="0">
      <alignment horizontal="left" vertical="center" wrapText="true"/>
    </xf>
    <xf applyAlignment="true" applyBorder="false" applyFill="true" applyFont="true" applyNumberFormat="false" applyProtection="false" borderId="20" fillId="40" fontId="4" numFmtId="0" xfId="0">
      <alignment horizontal="center" vertical="center" wrapText="true"/>
    </xf>
    <xf applyAlignment="true" applyBorder="false" applyFill="false" applyFont="true" applyNumberFormat="false" applyProtection="false" borderId="20" fillId="0" fontId="6" numFmtId="0" xfId="0">
      <alignment horizontal="left" vertical="center" wrapText="true"/>
    </xf>
    <xf applyAlignment="true" applyBorder="false" applyFill="false" applyFont="true" applyNumberFormat="true" applyProtection="false" borderId="20" fillId="0" fontId="6" numFmtId="196" xfId="0">
      <alignment horizontal="center" vertical="center" wrapText="true"/>
    </xf>
    <xf applyAlignment="true" applyBorder="false" applyFill="false" applyFont="true" applyNumberFormat="false" applyProtection="false" borderId="20" fillId="0" fontId="6" numFmtId="0" xfId="0">
      <alignment horizontal="center" vertical="center" wrapText="true"/>
    </xf>
    <xf applyAlignment="true" applyBorder="false" applyFill="true" applyFont="true" applyNumberFormat="false" applyProtection="false" borderId="21" fillId="39" fontId="7" numFmtId="0" xfId="0">
      <alignment horizontal="left" vertical="center"/>
    </xf>
    <xf applyAlignment="true" applyBorder="false" applyFill="true" applyFont="true" applyNumberFormat="false" applyProtection="false" borderId="21" fillId="40" fontId="8" numFmtId="0" xfId="0">
      <alignment horizontal="center" vertical="center"/>
    </xf>
    <xf applyAlignment="true" applyBorder="false" applyFill="true" applyFont="true" applyNumberFormat="true" applyProtection="false" borderId="20" fillId="40" fontId="4" numFmtId="196" xfId="0">
      <alignment horizontal="center" vertical="center" wrapText="true"/>
    </xf>
    <xf applyAlignment="true" applyBorder="false" applyFill="true" applyFont="true" applyNumberFormat="true" applyProtection="false" borderId="20" fillId="40" fontId="4" numFmtId="197" xfId="0">
      <alignment horizontal="center" vertical="center" wrapText="true"/>
    </xf>
    <xf applyAlignment="true" applyBorder="false" applyFill="false" applyFont="true" applyNumberFormat="true" applyProtection="false" borderId="20" fillId="0" fontId="6" numFmtId="197" xfId="0">
      <alignment horizontal="center" vertical="center" wrapText="true"/>
    </xf>
    <xf applyAlignment="true" applyBorder="false" applyFill="false" applyFont="true" applyNumberFormat="true" applyProtection="false" borderId="21" fillId="0" fontId="5" numFmtId="196" xfId="0">
      <alignment vertical="center"/>
    </xf>
    <xf applyAlignment="true" applyBorder="false" applyFill="false" applyFont="true" applyNumberFormat="true" applyProtection="false" borderId="21" fillId="0" fontId="5" numFmtId="197" xfId="0">
      <alignment vertical="center"/>
    </xf>
    <xf applyAlignment="true" applyBorder="false" applyFill="false" applyFont="true" applyNumberFormat="true" applyProtection="false" borderId="20" fillId="0" fontId="6" numFmtId="198" xfId="0">
      <alignment horizontal="center" vertical="center" wrapText="true"/>
    </xf>
    <xf applyAlignment="true" applyBorder="false" applyFill="false" applyFont="true" applyNumberFormat="true" applyProtection="false" borderId="20" fillId="0" fontId="6" numFmtId="199" xfId="0">
      <alignment horizontal="center" vertical="center" wrapText="true"/>
    </xf>
    <xf applyAlignment="true" applyBorder="false" applyFill="true" applyFont="true" applyNumberFormat="false" applyProtection="false" borderId="22" fillId="41" fontId="1" numFmtId="0" xfId="0">
      <alignment horizontal="center" vertical="center" wrapText="true"/>
    </xf>
    <xf applyAlignment="true" applyBorder="false" applyFill="false" applyFont="true" applyNumberFormat="false" applyProtection="false" borderId="23" fillId="0" fontId="5" numFmtId="0" xfId="0">
      <alignment vertical="center"/>
    </xf>
    <xf applyAlignment="true" applyBorder="false" applyFill="false" applyFont="true" applyNumberFormat="false" applyProtection="false" borderId="22" fillId="0" fontId="2" numFmtId="0" xfId="0">
      <alignment horizontal="left" vertical="center" wrapText="true"/>
    </xf>
    <xf applyAlignment="true" applyBorder="false" applyFill="true" applyFont="true" applyNumberFormat="false" applyProtection="false" borderId="22" fillId="42" fontId="3" numFmtId="0" xfId="0">
      <alignment horizontal="left" vertical="center" wrapText="true"/>
    </xf>
    <xf applyAlignment="true" applyBorder="false" applyFill="true" applyFont="true" applyNumberFormat="false" applyProtection="false" borderId="22" fillId="43" fontId="4" numFmtId="0" xfId="0">
      <alignment horizontal="center" vertical="center" wrapText="true"/>
    </xf>
    <xf applyAlignment="true" applyBorder="false" applyFill="false" applyFont="true" applyNumberFormat="false" applyProtection="false" borderId="22" fillId="0" fontId="6" numFmtId="0" xfId="0">
      <alignment horizontal="center" vertical="center" wrapText="true"/>
    </xf>
    <xf applyAlignment="true" applyBorder="false" applyFill="false" applyFont="true" applyNumberFormat="false" applyProtection="false" borderId="22" fillId="0" fontId="6" numFmtId="0" xfId="0">
      <alignment horizontal="left" vertical="center" wrapText="true"/>
    </xf>
    <xf applyAlignment="true" applyBorder="false" applyFill="true" applyFont="true" applyNumberFormat="false" applyProtection="false" borderId="23" fillId="42" fontId="7" numFmtId="0" xfId="0">
      <alignment horizontal="left" vertical="center"/>
    </xf>
    <xf applyAlignment="true" applyBorder="false" applyFill="true" applyFont="true" applyNumberFormat="false" applyProtection="false" borderId="23" fillId="43" fontId="8" numFmtId="0" xfId="0">
      <alignment horizontal="center" vertical="center"/>
    </xf>
    <xf applyAlignment="true" applyBorder="false" applyFill="false" applyFont="true" applyNumberFormat="true" applyProtection="false" borderId="23" fillId="0" fontId="5" numFmtId="200" xfId="0">
      <alignment vertical="center"/>
    </xf>
    <xf applyAlignment="true" applyBorder="false" applyFill="true" applyFont="true" applyNumberFormat="false" applyProtection="false" borderId="22" fillId="44" fontId="6" numFmtId="0" xfId="0">
      <alignment horizontal="center" vertical="center" wrapText="true"/>
    </xf>
    <xf applyAlignment="true" applyBorder="false" applyFill="true" applyFont="true" applyNumberFormat="false" applyProtection="false" borderId="22" fillId="45" fontId="9" numFmtId="0" xfId="0">
      <alignment horizontal="center" vertical="center" wrapText="true"/>
    </xf>
    <xf applyAlignment="true" applyBorder="false" applyFill="true" applyFont="true" applyNumberFormat="false" applyProtection="false" borderId="23" fillId="44" fontId="5" numFmtId="0" xfId="0">
      <alignment vertical="center"/>
    </xf>
    <xf applyAlignment="true" applyBorder="false" applyFill="true" applyFont="true" applyNumberFormat="false" applyProtection="false" borderId="23" fillId="45" fontId="10" numFmtId="0" xfId="0">
      <alignment vertical="center"/>
    </xf>
    <xf applyAlignment="true" applyBorder="false" applyFill="true" applyFont="true" applyNumberFormat="false" applyProtection="false" borderId="24" fillId="46" fontId="1" numFmtId="0" xfId="0">
      <alignment horizontal="center" vertical="center" wrapText="true"/>
    </xf>
    <xf applyAlignment="true" applyBorder="false" applyFill="false" applyFont="true" applyNumberFormat="false" applyProtection="false" borderId="25" fillId="0" fontId="5" numFmtId="0" xfId="0">
      <alignment vertical="center"/>
    </xf>
    <xf applyAlignment="true" applyBorder="false" applyFill="false" applyFont="true" applyNumberFormat="false" applyProtection="false" borderId="24" fillId="0" fontId="2" numFmtId="0" xfId="0">
      <alignment horizontal="left" vertical="center" wrapText="true"/>
    </xf>
    <xf applyAlignment="true" applyBorder="false" applyFill="true" applyFont="true" applyNumberFormat="false" applyProtection="false" borderId="24" fillId="47" fontId="3" numFmtId="0" xfId="0">
      <alignment horizontal="left" vertical="center" wrapText="true"/>
    </xf>
    <xf applyAlignment="true" applyBorder="false" applyFill="true" applyFont="true" applyNumberFormat="false" applyProtection="false" borderId="24" fillId="48" fontId="4" numFmtId="0" xfId="0">
      <alignment horizontal="center" vertical="center" wrapText="true"/>
    </xf>
    <xf applyAlignment="true" applyBorder="false" applyFill="false" applyFont="true" applyNumberFormat="false" applyProtection="false" borderId="24" fillId="0" fontId="6" numFmtId="0" xfId="0">
      <alignment horizontal="center" vertical="center" wrapText="true"/>
    </xf>
    <xf applyAlignment="true" applyBorder="false" applyFill="false" applyFont="true" applyNumberFormat="false" applyProtection="false" borderId="24" fillId="0" fontId="6" numFmtId="0" xfId="0">
      <alignment horizontal="left" vertical="center" wrapText="true"/>
    </xf>
    <xf applyAlignment="true" applyBorder="false" applyFill="true" applyFont="true" applyNumberFormat="false" applyProtection="false" borderId="25" fillId="47" fontId="7" numFmtId="0" xfId="0">
      <alignment horizontal="left" vertical="center"/>
    </xf>
    <xf applyAlignment="true" applyBorder="false" applyFill="true" applyFont="true" applyNumberFormat="false" applyProtection="false" borderId="25" fillId="48" fontId="8" numFmtId="0" xfId="0">
      <alignment horizontal="center" vertical="center"/>
    </xf>
    <xf applyAlignment="true" applyBorder="false" applyFill="true" applyFont="true" applyNumberFormat="false" applyProtection="false" borderId="24" fillId="49" fontId="6" numFmtId="0" xfId="0">
      <alignment horizontal="center" vertical="center" wrapText="true"/>
    </xf>
    <xf applyAlignment="true" applyBorder="false" applyFill="false" applyFont="true" applyNumberFormat="true" applyProtection="false" borderId="25" fillId="0" fontId="5" numFmtId="201" xfId="0">
      <alignment vertical="center"/>
    </xf>
    <xf applyAlignment="true" applyBorder="false" applyFill="true" applyFont="true" applyNumberFormat="false" applyProtection="false" borderId="25" fillId="50" fontId="10" numFmtId="0" xfId="0">
      <alignment vertical="center"/>
    </xf>
    <xf applyAlignment="true" applyBorder="false" applyFill="true" applyFont="true" applyNumberFormat="true" applyProtection="false" borderId="24" fillId="48" fontId="4" numFmtId="201" xfId="0">
      <alignment horizontal="center" vertical="center" wrapText="true"/>
    </xf>
    <xf applyAlignment="true" applyBorder="false" applyFill="true" applyFont="true" applyNumberFormat="false" applyProtection="false" borderId="24" fillId="50" fontId="4" numFmtId="0" xfId="0">
      <alignment horizontal="center" vertical="center" wrapText="true"/>
    </xf>
    <xf applyAlignment="true" applyBorder="false" applyFill="false" applyFont="true" applyNumberFormat="true" applyProtection="false" borderId="24" fillId="0" fontId="6" numFmtId="201" xfId="0">
      <alignment horizontal="center" vertical="center" wrapText="true"/>
    </xf>
    <xf applyAlignment="true" applyBorder="false" applyFill="true" applyFont="true" applyNumberFormat="false" applyProtection="false" borderId="24" fillId="50" fontId="9" numFmtId="0" xfId="0">
      <alignment horizontal="center" vertical="center" wrapText="true"/>
    </xf>
    <xf applyAlignment="true" applyBorder="false" applyFill="true" applyFont="true" applyNumberFormat="false" applyProtection="false" borderId="24" fillId="50" fontId="9" numFmtId="0" xfId="0">
      <alignment horizontal="left" vertical="center" wrapText="true"/>
    </xf>
    <xf applyAlignment="true" applyBorder="false" applyFill="true" applyFont="true" applyNumberFormat="false" applyProtection="false" borderId="0" fillId="47" fontId="3" numFmtId="0" xfId="0">
      <alignment horizontal="left" vertical="center"/>
    </xf>
    <xf applyAlignment="true" applyBorder="false" applyFill="true" applyFont="true" applyNumberFormat="false" applyProtection="false" borderId="0" fillId="48" fontId="12" numFmtId="0" xfId="0">
      <alignment horizontal="center" vertical="center"/>
    </xf>
    <xf applyAlignment="true" applyBorder="false" applyFill="false" applyFont="true" applyNumberFormat="false" applyProtection="false" borderId="26" fillId="0" fontId="5" numFmtId="0" xfId="0">
      <alignment horizontal="center" vertical="center"/>
    </xf>
    <xf applyAlignment="true" applyBorder="false" applyFill="false" applyFont="true" applyNumberFormat="false" applyProtection="false" borderId="26" fillId="0" fontId="5" numFmtId="0" xfId="0">
      <alignment vertical="center"/>
    </xf>
    <xf applyAlignment="true" applyBorder="false" applyFill="false" applyFont="true" applyNumberFormat="true" applyProtection="false" borderId="26" fillId="0" fontId="5" numFmtId="202" xfId="0">
      <alignment vertical="center"/>
    </xf>
    <xf applyAlignment="true" applyBorder="false" applyFill="false" applyFont="true" applyNumberFormat="true" applyProtection="false" borderId="26" fillId="0" fontId="5" numFmtId="203" xfId="0">
      <alignment vertical="center"/>
    </xf>
    <xf applyAlignment="true" applyBorder="false" applyFill="true" applyFont="true" applyNumberFormat="false" applyProtection="false" borderId="26" fillId="47" fontId="3" numFmtId="0" xfId="0">
      <alignment horizontal="center" vertical="center"/>
    </xf>
    <xf applyAlignment="true" applyBorder="false" applyFill="true" applyFont="true" applyNumberFormat="false" applyProtection="false" borderId="26" fillId="47" fontId="3" numFmtId="0" xfId="0">
      <alignment horizontal="left" vertical="center"/>
    </xf>
    <xf applyAlignment="true" applyBorder="false" applyFill="true" applyFont="true" applyNumberFormat="true" applyProtection="false" borderId="26" fillId="47" fontId="3" numFmtId="202" xfId="0">
      <alignment horizontal="left" vertical="center"/>
    </xf>
    <xf applyAlignment="true" applyBorder="false" applyFill="true" applyFont="true" applyNumberFormat="true" applyProtection="false" borderId="26" fillId="47" fontId="3" numFmtId="203" xfId="0">
      <alignment horizontal="left" vertical="center"/>
    </xf>
    <xf applyAlignment="true" applyBorder="false" applyFill="true" applyFont="true" applyNumberFormat="false" applyProtection="false" borderId="26" fillId="48" fontId="12" numFmtId="0" xfId="0">
      <alignment horizontal="center" vertical="center"/>
    </xf>
    <xf applyAlignment="true" applyBorder="false" applyFill="true" applyFont="true" applyNumberFormat="true" applyProtection="false" borderId="26" fillId="48" fontId="12" numFmtId="202" xfId="0">
      <alignment horizontal="center" vertical="center"/>
    </xf>
    <xf applyAlignment="true" applyBorder="false" applyFill="true" applyFont="true" applyNumberFormat="true" applyProtection="false" borderId="26" fillId="48" fontId="12" numFmtId="203" xfId="0">
      <alignment horizontal="center" vertical="center"/>
    </xf>
    <xf applyAlignment="true" applyBorder="false" applyFill="false" applyFont="true" applyNumberFormat="true" applyProtection="false" borderId="26" fillId="0" fontId="5" numFmtId="204" xfId="0">
      <alignment vertical="center"/>
    </xf>
    <xf applyAlignment="true" applyBorder="false" applyFill="true" applyFont="true" applyNumberFormat="false" applyProtection="false" borderId="0" fillId="51" fontId="1" numFmtId="0" xfId="0">
      <alignment horizontal="left" vertical="center"/>
    </xf>
    <xf applyAlignment="true" applyBorder="false" applyFill="true" applyFont="true" applyNumberFormat="true" applyProtection="false" borderId="0" fillId="52" fontId="13" numFmtId="205" xfId="0">
      <alignment vertical="center"/>
    </xf>
    <xf applyAlignment="true" applyBorder="false" applyFill="true" applyFont="true" applyNumberFormat="true" applyProtection="false" borderId="0" fillId="52" fontId="3" numFmtId="205" xfId="0">
      <alignment horizontal="left" vertical="center"/>
    </xf>
    <xf applyAlignment="true" applyBorder="false" applyFill="true" applyFont="true" applyNumberFormat="true" applyProtection="false" borderId="0" fillId="53" fontId="12" numFmtId="205" xfId="0">
      <alignment horizontal="center" vertical="center"/>
    </xf>
    <xf applyAlignment="true" applyBorder="false" applyFill="true" applyFont="true" applyNumberFormat="true" applyProtection="false" borderId="0" fillId="53" fontId="12" numFmtId="206" xfId="0">
      <alignment horizontal="center" vertical="center"/>
    </xf>
    <xf applyAlignment="true" applyBorder="false" applyFill="true" applyFont="true" applyNumberFormat="true" applyProtection="false" borderId="0" fillId="53" fontId="12" numFmtId="207" xfId="0">
      <alignment horizontal="center" vertical="center"/>
    </xf>
    <xf applyAlignment="true" applyBorder="false" applyFill="true" applyFont="true" applyNumberFormat="true" applyProtection="false" borderId="0" fillId="53" fontId="12" numFmtId="208" xfId="0">
      <alignment horizontal="center" vertical="center"/>
    </xf>
    <xf applyAlignment="true" applyBorder="false" applyFill="true" applyFont="true" applyNumberFormat="false" applyProtection="false" borderId="0" fillId="53" fontId="12" numFmtId="0" xfId="0">
      <alignment horizontal="center" vertical="center"/>
    </xf>
    <xf applyAlignment="true" applyBorder="false" applyFill="false" applyFont="true" applyNumberFormat="true" applyProtection="false" borderId="27" fillId="0" fontId="5" numFmtId="205" xfId="0">
      <alignment vertical="center"/>
    </xf>
    <xf applyAlignment="true" applyBorder="false" applyFill="false" applyFont="true" applyNumberFormat="true" applyProtection="false" borderId="27" fillId="0" fontId="5" numFmtId="208" xfId="0">
      <alignment vertical="center"/>
    </xf>
    <xf applyAlignment="true" applyBorder="false" applyFill="false" applyFont="true" applyNumberFormat="true" applyProtection="false" borderId="27" fillId="0" fontId="5" numFmtId="207" xfId="0">
      <alignment vertical="center"/>
    </xf>
    <xf applyAlignment="true" applyBorder="false" applyFill="false" applyFont="true" applyNumberFormat="false" applyProtection="false" borderId="27" fillId="0" fontId="5" numFmtId="0" xfId="0">
      <alignment vertical="center"/>
    </xf>
    <xf applyAlignment="true" applyBorder="false" applyFill="false" applyFont="true" applyNumberFormat="true" applyProtection="false" borderId="27" fillId="0" fontId="5" numFmtId="209" xfId="0">
      <alignment vertical="center"/>
    </xf>
    <xf applyAlignment="true" applyBorder="false" applyFill="true" applyFont="true" applyNumberFormat="true" applyProtection="false" borderId="27" fillId="52" fontId="3" numFmtId="205" xfId="0">
      <alignment horizontal="left" vertical="center"/>
    </xf>
    <xf applyAlignment="true" applyBorder="false" applyFill="true" applyFont="true" applyNumberFormat="true" applyProtection="false" borderId="27" fillId="53" fontId="12" numFmtId="205" xfId="0">
      <alignment horizontal="center" vertical="center"/>
    </xf>
    <xf applyAlignment="true" applyBorder="false" applyFill="true" applyFont="true" applyNumberFormat="true" applyProtection="false" borderId="27" fillId="53" fontId="12" numFmtId="206" xfId="0">
      <alignment horizontal="center" vertical="center"/>
    </xf>
    <xf applyAlignment="true" applyBorder="false" applyFill="true" applyFont="true" applyNumberFormat="true" applyProtection="false" borderId="27" fillId="53" fontId="12" numFmtId="207" xfId="0">
      <alignment horizontal="center" vertical="center"/>
    </xf>
    <xf applyAlignment="true" applyBorder="false" applyFill="true" applyFont="true" applyNumberFormat="true" applyProtection="false" borderId="27" fillId="53" fontId="12" numFmtId="208" xfId="0">
      <alignment horizontal="center" vertical="center"/>
    </xf>
    <xf applyAlignment="true" applyBorder="false" applyFill="true" applyFont="true" applyNumberFormat="false" applyProtection="false" borderId="27" fillId="53" fontId="12" numFmtId="0" xfId="0">
      <alignment horizontal="center" vertical="center"/>
    </xf>
    <xf applyAlignment="true" applyBorder="false" applyFill="false" applyFont="true" applyNumberFormat="true" applyProtection="false" borderId="27" fillId="0" fontId="5" numFmtId="206" xfId="0">
      <alignment vertical="center"/>
    </xf>
    <xf applyAlignment="true" applyBorder="false" applyFill="true" applyFont="true" applyNumberFormat="false" applyProtection="false" borderId="0" fillId="54" fontId="1" numFmtId="0" xfId="0">
      <alignment horizontal="left" vertical="center"/>
    </xf>
    <xf applyAlignment="true" applyBorder="false" applyFill="true" applyFont="true" applyNumberFormat="false" applyProtection="false" borderId="0" fillId="55" fontId="13" numFmtId="0" xfId="0">
      <alignment vertical="center"/>
    </xf>
    <xf applyAlignment="true" applyBorder="false" applyFill="true" applyFont="true" applyNumberFormat="false" applyProtection="false" borderId="0" fillId="55" fontId="3" numFmtId="0" xfId="0">
      <alignment horizontal="left" vertical="center"/>
    </xf>
    <xf applyAlignment="true" applyBorder="false" applyFill="true" applyFont="true" applyNumberFormat="false" applyProtection="false" borderId="0" fillId="56" fontId="12" numFmtId="0" xfId="0">
      <alignment horizontal="center" vertical="center"/>
    </xf>
    <xf applyAlignment="true" applyBorder="false" applyFill="true" applyFont="true" applyNumberFormat="true" applyProtection="false" borderId="0" fillId="56" fontId="12" numFmtId="210" xfId="0">
      <alignment horizontal="center" vertical="center"/>
    </xf>
    <xf applyAlignment="true" applyBorder="false" applyFill="true" applyFont="true" applyNumberFormat="true" applyProtection="false" borderId="0" fillId="56" fontId="12" numFmtId="211" xfId="0">
      <alignment horizontal="center" vertical="center"/>
    </xf>
    <xf applyAlignment="true" applyBorder="false" applyFill="true" applyFont="true" applyNumberFormat="true" applyProtection="false" borderId="0" fillId="56" fontId="12" numFmtId="212" xfId="0">
      <alignment horizontal="center" vertical="center"/>
    </xf>
    <xf applyAlignment="true" applyBorder="false" applyFill="false" applyFont="true" applyNumberFormat="false" applyProtection="false" borderId="28" fillId="0" fontId="5" numFmtId="0" xfId="0">
      <alignment vertical="center"/>
    </xf>
    <xf applyAlignment="true" applyBorder="false" applyFill="false" applyFont="true" applyNumberFormat="true" applyProtection="false" borderId="28" fillId="0" fontId="5" numFmtId="210" xfId="0">
      <alignment vertical="center"/>
    </xf>
    <xf applyAlignment="true" applyBorder="false" applyFill="false" applyFont="true" applyNumberFormat="true" applyProtection="false" borderId="28" fillId="0" fontId="5" numFmtId="211" xfId="0">
      <alignment vertical="center"/>
    </xf>
    <xf applyAlignment="true" applyBorder="false" applyFill="false" applyFont="true" applyNumberFormat="true" applyProtection="false" borderId="28" fillId="0" fontId="5" numFmtId="212" xfId="0">
      <alignment vertical="center"/>
    </xf>
    <xf applyAlignment="true" applyBorder="false" applyFill="true" applyFont="true" applyNumberFormat="false" applyProtection="false" borderId="28" fillId="55" fontId="3" numFmtId="0" xfId="0">
      <alignment horizontal="left" vertical="center"/>
    </xf>
    <xf applyAlignment="true" applyBorder="false" applyFill="true" applyFont="true" applyNumberFormat="false" applyProtection="false" borderId="28" fillId="56" fontId="12" numFmtId="0" xfId="0">
      <alignment horizontal="center" vertical="center"/>
    </xf>
    <xf applyAlignment="true" applyBorder="false" applyFill="true" applyFont="true" applyNumberFormat="true" applyProtection="false" borderId="28" fillId="56" fontId="12" numFmtId="210" xfId="0">
      <alignment horizontal="center" vertical="center"/>
    </xf>
    <xf applyAlignment="true" applyBorder="false" applyFill="true" applyFont="true" applyNumberFormat="true" applyProtection="false" borderId="28" fillId="56" fontId="12" numFmtId="211" xfId="0">
      <alignment horizontal="center" vertical="center"/>
    </xf>
    <xf applyAlignment="true" applyBorder="false" applyFill="true" applyFont="true" applyNumberFormat="true" applyProtection="false" borderId="28" fillId="56" fontId="12" numFmtId="212" xfId="0">
      <alignment horizontal="center" vertical="center"/>
    </xf>
    <xf applyAlignment="true" applyBorder="false" applyFill="false" applyFont="true" applyNumberFormat="true" applyProtection="false" borderId="28" fillId="0" fontId="5" numFmtId="213" xfId="0">
      <alignment vertical="center"/>
    </xf>
    <xf applyAlignment="true" applyBorder="false" applyFill="false" applyFont="true" applyNumberFormat="true" applyProtection="false" borderId="0" fillId="0" fontId="5" numFmtId="213" xfId="0">
      <alignment vertical="center"/>
    </xf>
    <xf applyAlignment="true" applyBorder="false" applyFill="false" applyFont="true" applyNumberFormat="true" applyProtection="false" borderId="0" fillId="0" fontId="5" numFmtId="211" xfId="0">
      <alignment vertical="center"/>
    </xf>
    <xf applyAlignment="true" applyBorder="false" applyFill="true" applyFont="true" applyNumberFormat="false" applyProtection="false" borderId="0" fillId="57" fontId="1" numFmtId="0" xfId="0">
      <alignment horizontal="left" vertical="center"/>
    </xf>
    <xf applyAlignment="true" applyBorder="false" applyFill="true" applyFont="true" applyNumberFormat="false" applyProtection="false" borderId="0" fillId="58" fontId="13" numFmtId="0" xfId="0">
      <alignment vertical="center"/>
    </xf>
    <xf applyAlignment="true" applyBorder="false" applyFill="true" applyFont="true" applyNumberFormat="false" applyProtection="false" borderId="0" fillId="58" fontId="3" numFmtId="0" xfId="0">
      <alignment horizontal="left" vertical="center"/>
    </xf>
    <xf applyAlignment="true" applyBorder="false" applyFill="true" applyFont="true" applyNumberFormat="false" applyProtection="false" borderId="0" fillId="59" fontId="12" numFmtId="0" xfId="0">
      <alignment horizontal="center" vertical="center"/>
    </xf>
    <xf applyAlignment="true" applyBorder="false" applyFill="true" applyFont="true" applyNumberFormat="true" applyProtection="false" borderId="0" fillId="59" fontId="12" numFmtId="214" xfId="0">
      <alignment horizontal="center" vertical="center"/>
    </xf>
    <xf applyAlignment="true" applyBorder="false" applyFill="true" applyFont="true" applyNumberFormat="true" applyProtection="false" borderId="0" fillId="59" fontId="12" numFmtId="215" xfId="0">
      <alignment horizontal="center" vertical="center"/>
    </xf>
    <xf applyAlignment="true" applyBorder="false" applyFill="true" applyFont="true" applyNumberFormat="true" applyProtection="false" borderId="0" fillId="59" fontId="12" numFmtId="216" xfId="0">
      <alignment horizontal="center" vertical="center"/>
    </xf>
    <xf applyAlignment="true" applyBorder="false" applyFill="false" applyFont="true" applyNumberFormat="false" applyProtection="false" borderId="29" fillId="0" fontId="5" numFmtId="0" xfId="0">
      <alignment vertical="center"/>
    </xf>
    <xf applyAlignment="true" applyBorder="false" applyFill="false" applyFont="true" applyNumberFormat="true" applyProtection="false" borderId="29" fillId="0" fontId="5" numFmtId="217" xfId="0">
      <alignment vertical="center"/>
    </xf>
    <xf applyAlignment="true" applyBorder="false" applyFill="false" applyFont="true" applyNumberFormat="true" applyProtection="false" borderId="29" fillId="0" fontId="5" numFmtId="215" xfId="0">
      <alignment vertical="center"/>
    </xf>
    <xf applyAlignment="true" applyBorder="false" applyFill="false" applyFont="true" applyNumberFormat="true" applyProtection="false" borderId="29" fillId="0" fontId="5" numFmtId="216" xfId="0">
      <alignment vertical="center"/>
    </xf>
    <xf applyAlignment="true" applyBorder="false" applyFill="false" applyFont="true" applyNumberFormat="true" applyProtection="false" borderId="29" fillId="0" fontId="5" numFmtId="214" xfId="0">
      <alignment vertical="center"/>
    </xf>
    <xf applyAlignment="true" applyBorder="false" applyFill="true" applyFont="true" applyNumberFormat="false" applyProtection="false" borderId="29" fillId="58" fontId="3" numFmtId="0" xfId="0">
      <alignment horizontal="left" vertical="center"/>
    </xf>
    <xf applyAlignment="true" applyBorder="false" applyFill="true" applyFont="true" applyNumberFormat="false" applyProtection="false" borderId="29" fillId="59" fontId="12" numFmtId="0" xfId="0">
      <alignment horizontal="center" vertical="center"/>
    </xf>
    <xf applyAlignment="true" applyBorder="false" applyFill="true" applyFont="true" applyNumberFormat="true" applyProtection="false" borderId="29" fillId="59" fontId="12" numFmtId="214" xfId="0">
      <alignment horizontal="center" vertical="center"/>
    </xf>
    <xf applyAlignment="true" applyBorder="false" applyFill="true" applyFont="true" applyNumberFormat="true" applyProtection="false" borderId="29" fillId="59" fontId="12" numFmtId="215" xfId="0">
      <alignment horizontal="center" vertical="center"/>
    </xf>
    <xf applyAlignment="true" applyBorder="false" applyFill="true" applyFont="true" applyNumberFormat="true" applyProtection="false" borderId="29" fillId="59" fontId="12" numFmtId="216" xfId="0">
      <alignment horizontal="center" vertical="center"/>
    </xf>
    <xf applyAlignment="true" applyBorder="false" applyFill="false" applyFont="true" applyNumberFormat="true" applyProtection="false" borderId="29" fillId="0" fontId="5" numFmtId="218" xfId="0">
      <alignment vertical="center"/>
    </xf>
    <xf applyAlignment="true" applyBorder="false" applyFill="false" applyFont="true" applyNumberFormat="true" applyProtection="false" borderId="29" fillId="0" fontId="5" numFmtId="219" xfId="0">
      <alignment vertical="center"/>
    </xf>
    <xf applyAlignment="true" applyBorder="false" applyFill="false" applyFont="true" applyNumberFormat="true" applyProtection="false" borderId="29" fillId="0" fontId="5" numFmtId="220" xfId="0">
      <alignment vertical="center"/>
    </xf>
    <xf applyAlignment="true" applyBorder="false" applyFill="false" applyFont="true" applyNumberFormat="true" applyProtection="false" borderId="29" fillId="0" fontId="5" numFmtId="221" xfId="0">
      <alignment vertical="center"/>
    </xf>
    <xf applyAlignment="true" applyBorder="false" applyFill="true" applyFont="true" applyNumberFormat="false" applyProtection="false" borderId="0" fillId="60" fontId="1" numFmtId="0" xfId="0">
      <alignment horizontal="left" vertical="center"/>
    </xf>
    <xf applyAlignment="true" applyBorder="false" applyFill="true" applyFont="true" applyNumberFormat="false" applyProtection="false" borderId="0" fillId="61" fontId="13" numFmtId="0" xfId="0">
      <alignment vertical="center"/>
    </xf>
    <xf applyAlignment="true" applyBorder="false" applyFill="true" applyFont="true" applyNumberFormat="false" applyProtection="false" borderId="0" fillId="61" fontId="3" numFmtId="0" xfId="0">
      <alignment horizontal="left" vertical="center"/>
    </xf>
    <xf applyAlignment="true" applyBorder="false" applyFill="true" applyFont="true" applyNumberFormat="false" applyProtection="false" borderId="0" fillId="62" fontId="12" numFmtId="0" xfId="0">
      <alignment horizontal="center" vertical="center"/>
    </xf>
    <xf applyAlignment="true" applyBorder="false" applyFill="false" applyFont="true" applyNumberFormat="false" applyProtection="false" borderId="30" fillId="0" fontId="5" numFmtId="0" xfId="0">
      <alignment vertical="center"/>
    </xf>
    <xf applyAlignment="true" applyBorder="false" applyFill="false" applyFont="true" applyNumberFormat="true" applyProtection="false" borderId="30" fillId="0" fontId="5" numFmtId="222" xfId="0">
      <alignment vertical="center"/>
    </xf>
    <xf applyAlignment="true" applyBorder="false" applyFill="false" applyFont="true" applyNumberFormat="true" applyProtection="false" borderId="30" fillId="0" fontId="5" numFmtId="223" xfId="0">
      <alignment vertical="center"/>
    </xf>
    <xf applyAlignment="true" applyBorder="false" applyFill="true" applyFont="true" applyNumberFormat="false" applyProtection="false" borderId="30" fillId="61" fontId="3" numFmtId="0" xfId="0">
      <alignment horizontal="left" vertical="center"/>
    </xf>
    <xf applyAlignment="true" applyBorder="false" applyFill="true" applyFont="true" applyNumberFormat="false" applyProtection="false" borderId="30" fillId="62" fontId="12" numFmtId="0" xfId="0">
      <alignment horizontal="center" vertical="center"/>
    </xf>
    <xf applyAlignment="true" applyBorder="false" applyFill="true" applyFont="true" applyNumberFormat="false" applyProtection="false" borderId="0" fillId="63" fontId="1" numFmtId="0" xfId="0">
      <alignment horizontal="left" vertical="center"/>
    </xf>
    <xf applyAlignment="true" applyBorder="false" applyFill="true" applyFont="true" applyNumberFormat="false" applyProtection="false" borderId="0" fillId="64" fontId="13" numFmtId="0" xfId="0">
      <alignment vertical="center"/>
    </xf>
    <xf applyAlignment="true" applyBorder="false" applyFill="true" applyFont="true" applyNumberFormat="false" applyProtection="false" borderId="0" fillId="64" fontId="3" numFmtId="0" xfId="0">
      <alignment horizontal="left" vertical="center"/>
    </xf>
    <xf applyAlignment="true" applyBorder="false" applyFill="true" applyFont="true" applyNumberFormat="false" applyProtection="false" borderId="0" fillId="65" fontId="12" numFmtId="0" xfId="0">
      <alignment horizontal="center" vertical="center"/>
    </xf>
    <xf applyAlignment="true" applyBorder="false" applyFill="true" applyFont="true" applyNumberFormat="true" applyProtection="false" borderId="0" fillId="65" fontId="12" numFmtId="224" xfId="0">
      <alignment horizontal="center" vertical="center"/>
    </xf>
    <xf applyAlignment="true" applyBorder="false" applyFill="false" applyFont="true" applyNumberFormat="false" applyProtection="false" borderId="31" fillId="0" fontId="5" numFmtId="0" xfId="0">
      <alignment vertical="center"/>
    </xf>
    <xf applyAlignment="true" applyBorder="false" applyFill="false" applyFont="true" applyNumberFormat="true" applyProtection="false" borderId="31" fillId="0" fontId="5" numFmtId="225" xfId="0">
      <alignment vertical="center"/>
    </xf>
    <xf applyAlignment="true" applyBorder="false" applyFill="false" applyFont="true" applyNumberFormat="true" applyProtection="false" borderId="31" fillId="0" fontId="5" numFmtId="224" xfId="0">
      <alignment vertical="center"/>
    </xf>
    <xf applyAlignment="true" applyBorder="false" applyFill="false" applyFont="true" applyNumberFormat="true" applyProtection="false" borderId="31" fillId="0" fontId="5" numFmtId="226" xfId="0">
      <alignment vertical="center"/>
    </xf>
    <xf applyAlignment="true" applyBorder="false" applyFill="true" applyFont="true" applyNumberFormat="false" applyProtection="false" borderId="31" fillId="65" fontId="12" numFmtId="0" xfId="0">
      <alignment horizontal="center" vertical="center"/>
    </xf>
    <xf applyAlignment="true" applyBorder="false" applyFill="true" applyFont="true" applyNumberFormat="false" applyProtection="false" borderId="31" fillId="64" fontId="3" numFmtId="0" xfId="0">
      <alignment horizontal="left" vertical="center"/>
    </xf>
    <xf applyAlignment="true" applyBorder="false" applyFill="true" applyFont="true" applyNumberFormat="true" applyProtection="false" borderId="31" fillId="65" fontId="12" numFmtId="224" xfId="0">
      <alignment horizontal="center" vertical="center"/>
    </xf>
    <xf applyAlignment="true" applyBorder="false" applyFill="true" applyFont="true" applyNumberFormat="false" applyProtection="false" borderId="0" fillId="66" fontId="1" numFmtId="0" xfId="0">
      <alignment horizontal="left" vertical="center"/>
    </xf>
    <xf applyAlignment="true" applyBorder="false" applyFill="true" applyFont="true" applyNumberFormat="false" applyProtection="false" borderId="0" fillId="67" fontId="13" numFmtId="0" xfId="0">
      <alignment vertical="center"/>
    </xf>
    <xf applyAlignment="true" applyBorder="false" applyFill="true" applyFont="true" applyNumberFormat="false" applyProtection="false" borderId="0" fillId="67" fontId="3" numFmtId="0" xfId="0">
      <alignment horizontal="left" vertical="center"/>
    </xf>
    <xf applyAlignment="true" applyBorder="false" applyFill="true" applyFont="true" applyNumberFormat="false" applyProtection="false" borderId="0" fillId="68" fontId="12" numFmtId="0" xfId="0">
      <alignment horizontal="center" vertical="center"/>
    </xf>
    <xf applyAlignment="true" applyBorder="false" applyFill="false" applyFont="true" applyNumberFormat="false" applyProtection="false" borderId="32" fillId="0" fontId="5" numFmtId="0" xfId="0">
      <alignment vertical="center"/>
    </xf>
    <xf applyAlignment="true" applyBorder="false" applyFill="false" applyFont="true" applyNumberFormat="true" applyProtection="false" borderId="32" fillId="0" fontId="5" numFmtId="227" xfId="0">
      <alignment vertical="center"/>
    </xf>
    <xf applyAlignment="true" applyBorder="false" applyFill="false" applyFont="true" applyNumberFormat="true" applyProtection="false" borderId="32" fillId="0" fontId="5" numFmtId="228" xfId="0">
      <alignment vertical="center"/>
    </xf>
    <xf applyAlignment="true" applyBorder="false" applyFill="false" applyFont="true" applyNumberFormat="true" applyProtection="false" borderId="32" fillId="0" fontId="5" numFmtId="229" xfId="0">
      <alignment vertical="center"/>
    </xf>
    <xf applyAlignment="true" applyBorder="false" applyFill="true" applyFont="true" applyNumberFormat="false" applyProtection="false" borderId="32" fillId="67" fontId="3" numFmtId="0" xfId="0">
      <alignment horizontal="left" vertical="center"/>
    </xf>
    <xf applyAlignment="true" applyBorder="false" applyFill="true" applyFont="true" applyNumberFormat="false" applyProtection="false" borderId="32" fillId="68" fontId="12" numFmtId="0" xfId="0">
      <alignment horizontal="center" vertical="center"/>
    </xf>
    <xf applyAlignment="true" applyBorder="false" applyFill="true" applyFont="true" applyNumberFormat="true" applyProtection="false" borderId="32" fillId="68" fontId="12" numFmtId="227" xfId="0">
      <alignment horizontal="center" vertical="center"/>
    </xf>
    <xf applyAlignment="true" applyBorder="false" applyFill="true" applyFont="true" applyNumberFormat="true" applyProtection="false" borderId="32" fillId="68" fontId="12" numFmtId="229" xfId="0">
      <alignment horizontal="center" vertical="center"/>
    </xf>
    <xf applyAlignment="true" applyBorder="false" applyFill="true" applyFont="true" applyNumberFormat="false" applyProtection="false" borderId="0" fillId="69" fontId="1" numFmtId="0" xfId="0">
      <alignment horizontal="left" vertical="center"/>
    </xf>
    <xf applyAlignment="true" applyBorder="false" applyFill="true" applyFont="true" applyNumberFormat="false" applyProtection="false" borderId="0" fillId="70" fontId="13" numFmtId="0" xfId="0">
      <alignment vertical="center"/>
    </xf>
    <xf applyAlignment="true" applyBorder="false" applyFill="true" applyFont="true" applyNumberFormat="false" applyProtection="false" borderId="0" fillId="70" fontId="3" numFmtId="0" xfId="0">
      <alignment horizontal="left" vertical="center"/>
    </xf>
    <xf applyAlignment="true" applyBorder="false" applyFill="true" applyFont="true" applyNumberFormat="false" applyProtection="false" borderId="0" fillId="71" fontId="12" numFmtId="0" xfId="0">
      <alignment horizontal="center" vertical="center"/>
    </xf>
    <xf applyAlignment="true" applyBorder="false" applyFill="false" applyFont="true" applyNumberFormat="false" applyProtection="false" borderId="33" fillId="0" fontId="5" numFmtId="0" xfId="0">
      <alignment vertical="center"/>
    </xf>
    <xf applyAlignment="true" applyBorder="false" applyFill="false" applyFont="true" applyNumberFormat="true" applyProtection="false" borderId="33" fillId="0" fontId="5" numFmtId="230" xfId="0">
      <alignment vertical="center"/>
    </xf>
    <xf applyAlignment="true" applyBorder="false" applyFill="false" applyFont="true" applyNumberFormat="true" applyProtection="false" borderId="33" fillId="0" fontId="5" numFmtId="231" xfId="0">
      <alignment vertical="center"/>
    </xf>
    <xf applyAlignment="true" applyBorder="false" applyFill="false" applyFont="true" applyNumberFormat="true" applyProtection="false" borderId="33" fillId="0" fontId="5" numFmtId="232" xfId="0">
      <alignment vertical="center"/>
    </xf>
    <xf applyAlignment="true" applyBorder="false" applyFill="true" applyFont="true" applyNumberFormat="false" applyProtection="false" borderId="33" fillId="70" fontId="3" numFmtId="0" xfId="0">
      <alignment horizontal="left" vertical="center"/>
    </xf>
    <xf applyAlignment="true" applyBorder="false" applyFill="true" applyFont="true" applyNumberFormat="false" applyProtection="false" borderId="33" fillId="71" fontId="12" numFmtId="0" xfId="0">
      <alignment horizontal="center" vertical="center"/>
    </xf>
    <xf applyAlignment="true" applyBorder="false" applyFill="true" applyFont="true" applyNumberFormat="false" applyProtection="false" borderId="0" fillId="72" fontId="1" numFmtId="0" xfId="0">
      <alignment horizontal="left" vertical="center"/>
    </xf>
    <xf applyAlignment="true" applyBorder="false" applyFill="true" applyFont="true" applyNumberFormat="false" applyProtection="false" borderId="0" fillId="73" fontId="13" numFmtId="0" xfId="0">
      <alignment vertical="center"/>
    </xf>
    <xf applyAlignment="true" applyBorder="false" applyFill="true" applyFont="true" applyNumberFormat="false" applyProtection="false" borderId="0" fillId="73" fontId="3" numFmtId="0" xfId="0">
      <alignment horizontal="left" vertical="center"/>
    </xf>
    <xf applyAlignment="true" applyBorder="false" applyFill="true" applyFont="true" applyNumberFormat="false" applyProtection="false" borderId="0" fillId="74" fontId="12" numFmtId="0" xfId="0">
      <alignment horizontal="center" vertical="center"/>
    </xf>
    <xf applyAlignment="true" applyBorder="false" applyFill="false" applyFont="true" applyNumberFormat="false" applyProtection="false" borderId="34" fillId="0" fontId="5" numFmtId="0" xfId="0">
      <alignment vertical="center"/>
    </xf>
    <xf applyAlignment="true" applyBorder="false" applyFill="false" applyFont="true" applyNumberFormat="true" applyProtection="false" borderId="34" fillId="0" fontId="5" numFmtId="233" xfId="0">
      <alignment vertical="center"/>
    </xf>
    <xf applyAlignment="true" applyBorder="false" applyFill="false" applyFont="true" applyNumberFormat="true" applyProtection="false" borderId="34" fillId="0" fontId="5" numFmtId="234" xfId="0">
      <alignment vertical="center"/>
    </xf>
    <xf applyAlignment="true" applyBorder="false" applyFill="true" applyFont="true" applyNumberFormat="false" applyProtection="false" borderId="34" fillId="73" fontId="3" numFmtId="0" xfId="0">
      <alignment horizontal="left" vertical="center"/>
    </xf>
    <xf applyAlignment="true" applyBorder="false" applyFill="true" applyFont="true" applyNumberFormat="false" applyProtection="false" borderId="34" fillId="74" fontId="12" numFmtId="0" xfId="0">
      <alignment horizontal="center" vertical="center"/>
    </xf>
    <xf applyAlignment="true" applyBorder="false" applyFill="false" applyFont="true" applyNumberFormat="true" applyProtection="false" borderId="34" fillId="0" fontId="5" numFmtId="235" xfId="0">
      <alignment vertical="center"/>
    </xf>
    <xf applyAlignment="true" applyBorder="false" applyFill="false" applyFont="true" applyNumberFormat="true" applyProtection="false" borderId="34" fillId="0" fontId="5" numFmtId="236" xfId="0">
      <alignment vertical="center"/>
    </xf>
    <xf applyAlignment="true" applyBorder="false" applyFill="true" applyFont="true" applyNumberFormat="false" applyProtection="false" borderId="0" fillId="75" fontId="1" numFmtId="0" xfId="0">
      <alignment horizontal="left" vertical="center"/>
    </xf>
    <xf applyAlignment="true" applyBorder="false" applyFill="true" applyFont="true" applyNumberFormat="false" applyProtection="false" borderId="0" fillId="76" fontId="13" numFmtId="0" xfId="0">
      <alignment vertical="center"/>
    </xf>
    <xf applyAlignment="true" applyBorder="false" applyFill="true" applyFont="true" applyNumberFormat="false" applyProtection="false" borderId="0" fillId="76" fontId="3" numFmtId="0" xfId="0">
      <alignment horizontal="left" vertical="center"/>
    </xf>
    <xf applyAlignment="true" applyBorder="false" applyFill="true" applyFont="true" applyNumberFormat="false" applyProtection="false" borderId="0" fillId="77" fontId="12" numFmtId="0" xfId="0">
      <alignment horizontal="center" vertical="center"/>
    </xf>
    <xf applyAlignment="true" applyBorder="false" applyFill="false" applyFont="true" applyNumberFormat="false" applyProtection="false" borderId="35" fillId="0" fontId="5" numFmtId="0" xfId="0">
      <alignment vertical="center"/>
    </xf>
    <xf applyAlignment="true" applyBorder="false" applyFill="false" applyFont="true" applyNumberFormat="true" applyProtection="false" borderId="35" fillId="0" fontId="5" numFmtId="237" xfId="0">
      <alignment vertical="center"/>
    </xf>
    <xf applyAlignment="true" applyBorder="false" applyFill="false" applyFont="true" applyNumberFormat="true" applyProtection="false" borderId="35" fillId="0" fontId="5" numFmtId="238" xfId="0">
      <alignment vertical="center"/>
    </xf>
    <xf applyAlignment="true" applyBorder="false" applyFill="true" applyFont="true" applyNumberFormat="false" applyProtection="false" borderId="35" fillId="76" fontId="3" numFmtId="0" xfId="0">
      <alignment horizontal="left" vertical="center"/>
    </xf>
    <xf applyAlignment="true" applyBorder="false" applyFill="true" applyFont="true" applyNumberFormat="false" applyProtection="false" borderId="35" fillId="77" fontId="12" numFmtId="0" xfId="0">
      <alignment horizontal="center" vertical="center"/>
    </xf>
    <xf applyAlignment="true" applyBorder="false" applyFill="false" applyFont="true" applyNumberFormat="true" applyProtection="false" borderId="35" fillId="0" fontId="5" numFmtId="239" xfId="0">
      <alignment vertical="center"/>
    </xf>
    <xf applyAlignment="true" applyBorder="false" applyFill="false" applyFont="true" applyNumberFormat="true" applyProtection="false" borderId="35" fillId="0" fontId="5" numFmtId="240" xfId="0">
      <alignment vertical="center"/>
    </xf>
    <xf applyAlignment="true" applyBorder="false" applyFill="true" applyFont="true" applyNumberFormat="false" applyProtection="false" borderId="0" fillId="78" fontId="1" numFmtId="0" xfId="0">
      <alignment horizontal="left" vertical="center"/>
    </xf>
    <xf applyAlignment="true" applyBorder="false" applyFill="true" applyFont="true" applyNumberFormat="false" applyProtection="false" borderId="0" fillId="79" fontId="13" numFmtId="0" xfId="0">
      <alignment vertical="center"/>
    </xf>
    <xf applyAlignment="true" applyBorder="false" applyFill="true" applyFont="true" applyNumberFormat="false" applyProtection="false" borderId="0" fillId="79" fontId="3" numFmtId="0" xfId="0">
      <alignment horizontal="left" vertical="center"/>
    </xf>
    <xf applyAlignment="true" applyBorder="false" applyFill="true" applyFont="true" applyNumberFormat="false" applyProtection="false" borderId="0" fillId="80" fontId="12" numFmtId="0" xfId="0">
      <alignment horizontal="center" vertical="center"/>
    </xf>
    <xf applyAlignment="true" applyBorder="false" applyFill="false" applyFont="true" applyNumberFormat="false" applyProtection="false" borderId="36" fillId="0" fontId="5" numFmtId="0" xfId="0">
      <alignment vertical="center"/>
    </xf>
    <xf applyAlignment="true" applyBorder="false" applyFill="false" applyFont="true" applyNumberFormat="true" applyProtection="false" borderId="36" fillId="0" fontId="5" numFmtId="241" xfId="0">
      <alignment vertical="center"/>
    </xf>
    <xf applyAlignment="true" applyBorder="false" applyFill="true" applyFont="true" applyNumberFormat="false" applyProtection="false" borderId="36" fillId="79" fontId="3" numFmtId="0" xfId="0">
      <alignment horizontal="left" vertical="center"/>
    </xf>
    <xf applyAlignment="true" applyBorder="false" applyFill="true" applyFont="true" applyNumberFormat="false" applyProtection="false" borderId="36" fillId="80" fontId="12" numFmtId="0" xfId="0">
      <alignment horizontal="center" vertical="center"/>
    </xf>
    <xf applyAlignment="true" applyBorder="false" applyFill="false" applyFont="true" applyNumberFormat="true" applyProtection="false" borderId="36" fillId="0" fontId="5" numFmtId="242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Relationship Id="rId9" Target="worksheets/sheet6.xml" Type="http://schemas.openxmlformats.org/officeDocument/2006/relationships/worksheet"></Relationship><Relationship Id="rId10" Target="worksheets/sheet7.xml" Type="http://schemas.openxmlformats.org/officeDocument/2006/relationships/worksheet"></Relationship><Relationship Id="rId11" Target="worksheets/sheet8.xml" Type="http://schemas.openxmlformats.org/officeDocument/2006/relationships/worksheet"></Relationship><Relationship Id="rId12" Target="worksheets/sheet9.xml" Type="http://schemas.openxmlformats.org/officeDocument/2006/relationships/worksheet"></Relationship><Relationship Id="rId13" Target="worksheets/sheet10.xml" Type="http://schemas.openxmlformats.org/officeDocument/2006/relationships/worksheet"></Relationship><Relationship Id="rId14" Target="worksheets/sheet11.xml" Type="http://schemas.openxmlformats.org/officeDocument/2006/relationships/worksheet"></Relationship><Relationship Id="rId15" Target="worksheets/sheet12.xml" Type="http://schemas.openxmlformats.org/officeDocument/2006/relationships/worksheet"></Relationship><Relationship Id="rId16" Target="worksheets/sheet13.xml" Type="http://schemas.openxmlformats.org/officeDocument/2006/relationships/worksheet"></Relationship><Relationship Id="rId17" Target="worksheets/sheet14.xml" Type="http://schemas.openxmlformats.org/officeDocument/2006/relationships/worksheet"></Relationship><Relationship Id="rId18" Target="worksheets/sheet15.xml" Type="http://schemas.openxmlformats.org/officeDocument/2006/relationships/worksheet"></Relationship><Relationship Id="rId19" Target="worksheets/sheet16.xml" Type="http://schemas.openxmlformats.org/officeDocument/2006/relationships/worksheet"></Relationship><Relationship Id="rId20" Target="worksheets/sheet17.xml" Type="http://schemas.openxmlformats.org/officeDocument/2006/relationships/worksheet"></Relationship><Relationship Id="rId21" Target="worksheets/sheet18.xml" Type="http://schemas.openxmlformats.org/officeDocument/2006/relationships/worksheet"></Relationship><Relationship Id="rId22" Target="worksheets/sheet19.xml" Type="http://schemas.openxmlformats.org/officeDocument/2006/relationships/worksheet"></Relationship><Relationship Id="rId23" Target="worksheets/sheet20.xml" Type="http://schemas.openxmlformats.org/officeDocument/2006/relationships/worksheet"></Relationship><Relationship Id="rId24" Target="worksheets/sheet21.xml" Type="http://schemas.openxmlformats.org/officeDocument/2006/relationships/worksheet"></Relationship><Relationship Id="rId25" Target="worksheets/sheet22.xml" Type="http://schemas.openxmlformats.org/officeDocument/2006/relationships/worksheet"></Relationship><Relationship Id="rId26" Target="worksheets/sheet23.xml" Type="http://schemas.openxmlformats.org/officeDocument/2006/relationships/worksheet"></Relationship></Relationships>
</file>

<file path=xl/drawings/_rels/drawing1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drawings/_rels/drawing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drawings/_rels/drawing3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drawings/_rels/drawing4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drawings/_rels/drawing5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drawings/_rels/drawing6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drawings/_rels/drawing7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drawings/_rels/drawing8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drawings/_rels/drawing9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drawings/_rels/drawing10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drawings/_rels/drawing11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drawings/_rels/drawing1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drawings/_rels/drawing13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drawings/_rels/drawing14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drawings/_rels/drawing15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drawings/_rels/drawing16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drawings/_rels/drawing17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drawings/_rels/drawing18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drawings/_rels/drawing19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drawings/_rels/drawing20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drawings/_rels/drawing21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drawings/_rels/drawing2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19050</xdr:colOff>
      <xdr:row>0</xdr:row>
      <xdr:rowOff>19050</xdr:rowOff>
    </xdr:from>
    <xdr:to>
      <xdr:col>0</xdr:col>
      <xdr:colOff>1257300</xdr:colOff>
      <xdr:row>1</xdr:row>
      <xdr:rowOff>133350</xdr:rowOff>
    </xdr:to>
    <xdr:pic>
      <xdr:nvPicPr>
        <xdr:cNvPr id="2" name="Picture 2" descr="vwReqx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drawings/drawing2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19050</xdr:colOff>
      <xdr:row>0</xdr:row>
      <xdr:rowOff>19050</xdr:rowOff>
    </xdr:from>
    <xdr:to>
      <xdr:col>0</xdr:col>
      <xdr:colOff>1257300</xdr:colOff>
      <xdr:row>1</xdr:row>
      <xdr:rowOff>133350</xdr:rowOff>
    </xdr:to>
    <xdr:pic>
      <xdr:nvPicPr>
        <xdr:cNvPr id="2" name="Picture 2" descr="ZXlSgd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drawings/drawing3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19050</xdr:colOff>
      <xdr:row>0</xdr:row>
      <xdr:rowOff>19050</xdr:rowOff>
    </xdr:from>
    <xdr:to>
      <xdr:col>0</xdr:col>
      <xdr:colOff>1257300</xdr:colOff>
      <xdr:row>1</xdr:row>
      <xdr:rowOff>133350</xdr:rowOff>
    </xdr:to>
    <xdr:pic>
      <xdr:nvPicPr>
        <xdr:cNvPr id="2" name="Picture 2" descr="NCfOjj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drawings/drawing4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19050</xdr:colOff>
      <xdr:row>0</xdr:row>
      <xdr:rowOff>19050</xdr:rowOff>
    </xdr:from>
    <xdr:to>
      <xdr:col>0</xdr:col>
      <xdr:colOff>1257300</xdr:colOff>
      <xdr:row>1</xdr:row>
      <xdr:rowOff>133350</xdr:rowOff>
    </xdr:to>
    <xdr:pic>
      <xdr:nvPicPr>
        <xdr:cNvPr id="2" name="Picture 2" descr="zxlSlF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drawings/drawing5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19050</xdr:colOff>
      <xdr:row>0</xdr:row>
      <xdr:rowOff>19050</xdr:rowOff>
    </xdr:from>
    <xdr:to>
      <xdr:col>0</xdr:col>
      <xdr:colOff>1257300</xdr:colOff>
      <xdr:row>1</xdr:row>
      <xdr:rowOff>133350</xdr:rowOff>
    </xdr:to>
    <xdr:pic>
      <xdr:nvPicPr>
        <xdr:cNvPr id="2" name="Picture 2" descr="hNpYwF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drawings/drawing6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19050</xdr:colOff>
      <xdr:row>0</xdr:row>
      <xdr:rowOff>19050</xdr:rowOff>
    </xdr:from>
    <xdr:to>
      <xdr:col>0</xdr:col>
      <xdr:colOff>1257300</xdr:colOff>
      <xdr:row>1</xdr:row>
      <xdr:rowOff>133350</xdr:rowOff>
    </xdr:to>
    <xdr:pic>
      <xdr:nvPicPr>
        <xdr:cNvPr id="2" name="Picture 2" descr="KPnGpZ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drawings/drawing7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19050</xdr:colOff>
      <xdr:row>0</xdr:row>
      <xdr:rowOff>19050</xdr:rowOff>
    </xdr:from>
    <xdr:to>
      <xdr:col>0</xdr:col>
      <xdr:colOff>1257300</xdr:colOff>
      <xdr:row>1</xdr:row>
      <xdr:rowOff>133350</xdr:rowOff>
    </xdr:to>
    <xdr:pic>
      <xdr:nvPicPr>
        <xdr:cNvPr id="2" name="Picture 2" descr="oSGXqO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drawings/drawing8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19050</xdr:colOff>
      <xdr:row>0</xdr:row>
      <xdr:rowOff>19050</xdr:rowOff>
    </xdr:from>
    <xdr:to>
      <xdr:col>0</xdr:col>
      <xdr:colOff>1257300</xdr:colOff>
      <xdr:row>1</xdr:row>
      <xdr:rowOff>133350</xdr:rowOff>
    </xdr:to>
    <xdr:pic>
      <xdr:nvPicPr>
        <xdr:cNvPr id="2" name="Picture 2" descr="gHLEUo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drawings/drawing9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19050</xdr:colOff>
      <xdr:row>0</xdr:row>
      <xdr:rowOff>19050</xdr:rowOff>
    </xdr:from>
    <xdr:to>
      <xdr:col>0</xdr:col>
      <xdr:colOff>1257300</xdr:colOff>
      <xdr:row>1</xdr:row>
      <xdr:rowOff>133350</xdr:rowOff>
    </xdr:to>
    <xdr:pic>
      <xdr:nvPicPr>
        <xdr:cNvPr id="2" name="Picture 2" descr="Hhptrc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drawings/drawing10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19050</xdr:colOff>
      <xdr:row>0</xdr:row>
      <xdr:rowOff>19050</xdr:rowOff>
    </xdr:from>
    <xdr:to>
      <xdr:col>0</xdr:col>
      <xdr:colOff>1257300</xdr:colOff>
      <xdr:row>1</xdr:row>
      <xdr:rowOff>133350</xdr:rowOff>
    </xdr:to>
    <xdr:pic>
      <xdr:nvPicPr>
        <xdr:cNvPr id="2" name="Picture 2" descr="VkrUxZ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drawings/drawing11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19050</xdr:colOff>
      <xdr:row>0</xdr:row>
      <xdr:rowOff>19050</xdr:rowOff>
    </xdr:from>
    <xdr:to>
      <xdr:col>0</xdr:col>
      <xdr:colOff>1257300</xdr:colOff>
      <xdr:row>1</xdr:row>
      <xdr:rowOff>133350</xdr:rowOff>
    </xdr:to>
    <xdr:pic>
      <xdr:nvPicPr>
        <xdr:cNvPr id="2" name="Picture 2" descr="fubjGV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drawings/drawing12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19050</xdr:colOff>
      <xdr:row>0</xdr:row>
      <xdr:rowOff>19050</xdr:rowOff>
    </xdr:from>
    <xdr:to>
      <xdr:col>0</xdr:col>
      <xdr:colOff>1257300</xdr:colOff>
      <xdr:row>1</xdr:row>
      <xdr:rowOff>133350</xdr:rowOff>
    </xdr:to>
    <xdr:pic>
      <xdr:nvPicPr>
        <xdr:cNvPr id="2" name="Picture 2" descr="BrIAbx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drawings/drawing13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19050</xdr:colOff>
      <xdr:row>0</xdr:row>
      <xdr:rowOff>19050</xdr:rowOff>
    </xdr:from>
    <xdr:to>
      <xdr:col>0</xdr:col>
      <xdr:colOff>1257300</xdr:colOff>
      <xdr:row>1</xdr:row>
      <xdr:rowOff>190500</xdr:rowOff>
    </xdr:to>
    <xdr:pic>
      <xdr:nvPicPr>
        <xdr:cNvPr id="2" name="Picture 2" descr="IJtfiK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drawings/drawing14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19050</xdr:colOff>
      <xdr:row>0</xdr:row>
      <xdr:rowOff>19050</xdr:rowOff>
    </xdr:from>
    <xdr:to>
      <xdr:col>0</xdr:col>
      <xdr:colOff>1257300</xdr:colOff>
      <xdr:row>1</xdr:row>
      <xdr:rowOff>190500</xdr:rowOff>
    </xdr:to>
    <xdr:pic>
      <xdr:nvPicPr>
        <xdr:cNvPr id="2" name="Picture 2" descr="DmOHlU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drawings/drawing15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19050</xdr:colOff>
      <xdr:row>0</xdr:row>
      <xdr:rowOff>19050</xdr:rowOff>
    </xdr:from>
    <xdr:to>
      <xdr:col>0</xdr:col>
      <xdr:colOff>1257300</xdr:colOff>
      <xdr:row>1</xdr:row>
      <xdr:rowOff>190500</xdr:rowOff>
    </xdr:to>
    <xdr:pic>
      <xdr:nvPicPr>
        <xdr:cNvPr id="2" name="Picture 2" descr="rmNCUZ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drawings/drawing16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19050</xdr:colOff>
      <xdr:row>0</xdr:row>
      <xdr:rowOff>19050</xdr:rowOff>
    </xdr:from>
    <xdr:to>
      <xdr:col>1</xdr:col>
      <xdr:colOff>400050</xdr:colOff>
      <xdr:row>1</xdr:row>
      <xdr:rowOff>190500</xdr:rowOff>
    </xdr:to>
    <xdr:pic>
      <xdr:nvPicPr>
        <xdr:cNvPr id="2" name="Picture 2" descr="caMPUg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drawings/drawing17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19050</xdr:colOff>
      <xdr:row>0</xdr:row>
      <xdr:rowOff>19050</xdr:rowOff>
    </xdr:from>
    <xdr:to>
      <xdr:col>1</xdr:col>
      <xdr:colOff>400050</xdr:colOff>
      <xdr:row>1</xdr:row>
      <xdr:rowOff>190500</xdr:rowOff>
    </xdr:to>
    <xdr:pic>
      <xdr:nvPicPr>
        <xdr:cNvPr id="2" name="Picture 2" descr="LLSVjW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drawings/drawing18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19050</xdr:colOff>
      <xdr:row>0</xdr:row>
      <xdr:rowOff>19050</xdr:rowOff>
    </xdr:from>
    <xdr:to>
      <xdr:col>0</xdr:col>
      <xdr:colOff>1257300</xdr:colOff>
      <xdr:row>1</xdr:row>
      <xdr:rowOff>190500</xdr:rowOff>
    </xdr:to>
    <xdr:pic>
      <xdr:nvPicPr>
        <xdr:cNvPr id="2" name="Picture 2" descr="DuzejA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drawings/drawing19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19050</xdr:colOff>
      <xdr:row>0</xdr:row>
      <xdr:rowOff>19050</xdr:rowOff>
    </xdr:from>
    <xdr:to>
      <xdr:col>0</xdr:col>
      <xdr:colOff>1257300</xdr:colOff>
      <xdr:row>1</xdr:row>
      <xdr:rowOff>190500</xdr:rowOff>
    </xdr:to>
    <xdr:pic>
      <xdr:nvPicPr>
        <xdr:cNvPr id="2" name="Picture 2" descr="dzmmdE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drawings/drawing20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19050</xdr:colOff>
      <xdr:row>0</xdr:row>
      <xdr:rowOff>19050</xdr:rowOff>
    </xdr:from>
    <xdr:to>
      <xdr:col>0</xdr:col>
      <xdr:colOff>1257300</xdr:colOff>
      <xdr:row>1</xdr:row>
      <xdr:rowOff>190500</xdr:rowOff>
    </xdr:to>
    <xdr:pic>
      <xdr:nvPicPr>
        <xdr:cNvPr id="2" name="Picture 2" descr="dsXxfP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drawings/drawing21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19050</xdr:colOff>
      <xdr:row>0</xdr:row>
      <xdr:rowOff>19050</xdr:rowOff>
    </xdr:from>
    <xdr:to>
      <xdr:col>1</xdr:col>
      <xdr:colOff>304800</xdr:colOff>
      <xdr:row>1</xdr:row>
      <xdr:rowOff>190500</xdr:rowOff>
    </xdr:to>
    <xdr:pic>
      <xdr:nvPicPr>
        <xdr:cNvPr id="2" name="Picture 2" descr="uWjxOx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drawings/drawing22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19050</xdr:colOff>
      <xdr:row>0</xdr:row>
      <xdr:rowOff>19050</xdr:rowOff>
    </xdr:from>
    <xdr:to>
      <xdr:col>0</xdr:col>
      <xdr:colOff>1257300</xdr:colOff>
      <xdr:row>1</xdr:row>
      <xdr:rowOff>190500</xdr:rowOff>
    </xdr:to>
    <xdr:pic>
      <xdr:nvPicPr>
        <xdr:cNvPr id="2" name="Picture 2" descr="COMnMp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drawings/drawing1.xml" Type="http://schemas.openxmlformats.org/officeDocument/2006/relationships/drawing"></Relationship></Relationships>
</file>

<file path=xl/worksheets/_rels/sheet3.xml.rels><?xml version="1.0" encoding="UTF-8" standalone="yes"?>
<Relationships xmlns="http://schemas.openxmlformats.org/package/2006/relationships"><Relationship Id="rId1" Target="../drawings/drawing2.xml" Type="http://schemas.openxmlformats.org/officeDocument/2006/relationships/drawing"></Relationship></Relationships>
</file>

<file path=xl/worksheets/_rels/sheet4.xml.rels><?xml version="1.0" encoding="UTF-8" standalone="yes"?>
<Relationships xmlns="http://schemas.openxmlformats.org/package/2006/relationships"><Relationship Id="rId1" Target="../drawings/drawing3.xml" Type="http://schemas.openxmlformats.org/officeDocument/2006/relationships/drawing"></Relationship></Relationships>
</file>

<file path=xl/worksheets/_rels/sheet5.xml.rels><?xml version="1.0" encoding="UTF-8" standalone="yes"?>
<Relationships xmlns="http://schemas.openxmlformats.org/package/2006/relationships"><Relationship Id="rId1" Target="../drawings/drawing4.xml" Type="http://schemas.openxmlformats.org/officeDocument/2006/relationships/drawing"></Relationship></Relationships>
</file>

<file path=xl/worksheets/_rels/sheet6.xml.rels><?xml version="1.0" encoding="UTF-8" standalone="yes"?>
<Relationships xmlns="http://schemas.openxmlformats.org/package/2006/relationships"><Relationship Id="rId1" Target="../drawings/drawing5.xml" Type="http://schemas.openxmlformats.org/officeDocument/2006/relationships/drawing"></Relationship></Relationships>
</file>

<file path=xl/worksheets/_rels/sheet7.xml.rels><?xml version="1.0" encoding="UTF-8" standalone="yes"?>
<Relationships xmlns="http://schemas.openxmlformats.org/package/2006/relationships"><Relationship Id="rId1" Target="../drawings/drawing6.xml" Type="http://schemas.openxmlformats.org/officeDocument/2006/relationships/drawing"></Relationship></Relationships>
</file>

<file path=xl/worksheets/_rels/sheet8.xml.rels><?xml version="1.0" encoding="UTF-8" standalone="yes"?>
<Relationships xmlns="http://schemas.openxmlformats.org/package/2006/relationships"><Relationship Id="rId1" Target="../drawings/drawing7.xml" Type="http://schemas.openxmlformats.org/officeDocument/2006/relationships/drawing"></Relationship></Relationships>
</file>

<file path=xl/worksheets/_rels/sheet9.xml.rels><?xml version="1.0" encoding="UTF-8" standalone="yes"?>
<Relationships xmlns="http://schemas.openxmlformats.org/package/2006/relationships"><Relationship Id="rId1" Target="../drawings/drawing8.xml" Type="http://schemas.openxmlformats.org/officeDocument/2006/relationships/drawing"></Relationship></Relationships>
</file>

<file path=xl/worksheets/_rels/sheet10.xml.rels><?xml version="1.0" encoding="UTF-8" standalone="yes"?>
<Relationships xmlns="http://schemas.openxmlformats.org/package/2006/relationships"><Relationship Id="rId1" Target="../drawings/drawing9.xml" Type="http://schemas.openxmlformats.org/officeDocument/2006/relationships/drawing"></Relationship></Relationships>
</file>

<file path=xl/worksheets/_rels/sheet11.xml.rels><?xml version="1.0" encoding="UTF-8" standalone="yes"?>
<Relationships xmlns="http://schemas.openxmlformats.org/package/2006/relationships"><Relationship Id="rId1" Target="../drawings/drawing10.xml" Type="http://schemas.openxmlformats.org/officeDocument/2006/relationships/drawing"></Relationship></Relationships>
</file>

<file path=xl/worksheets/_rels/sheet12.xml.rels><?xml version="1.0" encoding="UTF-8" standalone="yes"?>
<Relationships xmlns="http://schemas.openxmlformats.org/package/2006/relationships"><Relationship Id="rId1" Target="../drawings/drawing11.xml" Type="http://schemas.openxmlformats.org/officeDocument/2006/relationships/drawing"></Relationship></Relationships>
</file>

<file path=xl/worksheets/_rels/sheet13.xml.rels><?xml version="1.0" encoding="UTF-8" standalone="yes"?>
<Relationships xmlns="http://schemas.openxmlformats.org/package/2006/relationships"><Relationship Id="rId1" Target="../drawings/drawing12.xml" Type="http://schemas.openxmlformats.org/officeDocument/2006/relationships/drawing"></Relationship></Relationships>
</file>

<file path=xl/worksheets/_rels/sheet14.xml.rels><?xml version="1.0" encoding="UTF-8" standalone="yes"?>
<Relationships xmlns="http://schemas.openxmlformats.org/package/2006/relationships"><Relationship Id="rId1" Target="../drawings/drawing13.xml" Type="http://schemas.openxmlformats.org/officeDocument/2006/relationships/drawing"></Relationship></Relationships>
</file>

<file path=xl/worksheets/_rels/sheet15.xml.rels><?xml version="1.0" encoding="UTF-8" standalone="yes"?>
<Relationships xmlns="http://schemas.openxmlformats.org/package/2006/relationships"><Relationship Id="rId1" Target="../drawings/drawing14.xml" Type="http://schemas.openxmlformats.org/officeDocument/2006/relationships/drawing"></Relationship></Relationships>
</file>

<file path=xl/worksheets/_rels/sheet16.xml.rels><?xml version="1.0" encoding="UTF-8" standalone="yes"?>
<Relationships xmlns="http://schemas.openxmlformats.org/package/2006/relationships"><Relationship Id="rId1" Target="../drawings/drawing15.xml" Type="http://schemas.openxmlformats.org/officeDocument/2006/relationships/drawing"></Relationship></Relationships>
</file>

<file path=xl/worksheets/_rels/sheet17.xml.rels><?xml version="1.0" encoding="UTF-8" standalone="yes"?>
<Relationships xmlns="http://schemas.openxmlformats.org/package/2006/relationships"><Relationship Id="rId1" Target="../drawings/drawing16.xml" Type="http://schemas.openxmlformats.org/officeDocument/2006/relationships/drawing"></Relationship></Relationships>
</file>

<file path=xl/worksheets/_rels/sheet18.xml.rels><?xml version="1.0" encoding="UTF-8" standalone="yes"?>
<Relationships xmlns="http://schemas.openxmlformats.org/package/2006/relationships"><Relationship Id="rId1" Target="../drawings/drawing17.xml" Type="http://schemas.openxmlformats.org/officeDocument/2006/relationships/drawing"></Relationship></Relationships>
</file>

<file path=xl/worksheets/_rels/sheet19.xml.rels><?xml version="1.0" encoding="UTF-8" standalone="yes"?>
<Relationships xmlns="http://schemas.openxmlformats.org/package/2006/relationships"><Relationship Id="rId1" Target="../drawings/drawing18.xml" Type="http://schemas.openxmlformats.org/officeDocument/2006/relationships/drawing"></Relationship></Relationships>
</file>

<file path=xl/worksheets/_rels/sheet20.xml.rels><?xml version="1.0" encoding="UTF-8" standalone="yes"?>
<Relationships xmlns="http://schemas.openxmlformats.org/package/2006/relationships"><Relationship Id="rId1" Target="../drawings/drawing19.xml" Type="http://schemas.openxmlformats.org/officeDocument/2006/relationships/drawing"></Relationship></Relationships>
</file>

<file path=xl/worksheets/_rels/sheet21.xml.rels><?xml version="1.0" encoding="UTF-8" standalone="yes"?>
<Relationships xmlns="http://schemas.openxmlformats.org/package/2006/relationships"><Relationship Id="rId1" Target="../drawings/drawing20.xml" Type="http://schemas.openxmlformats.org/officeDocument/2006/relationships/drawing"></Relationship></Relationships>
</file>

<file path=xl/worksheets/_rels/sheet22.xml.rels><?xml version="1.0" encoding="UTF-8" standalone="yes"?>
<Relationships xmlns="http://schemas.openxmlformats.org/package/2006/relationships"><Relationship Id="rId1" Target="../drawings/drawing21.xml" Type="http://schemas.openxmlformats.org/officeDocument/2006/relationships/drawing"></Relationship></Relationships>
</file>

<file path=xl/worksheets/_rels/sheet23.xml.rels><?xml version="1.0" encoding="UTF-8" standalone="yes"?>
<Relationships xmlns="http://schemas.openxmlformats.org/package/2006/relationships"><Relationship Id="rId1" Target="../drawings/drawing22.xml" Type="http://schemas.openxmlformats.org/officeDocument/2006/relationships/drawing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2" ySplit="1"/>
    </sheetView>
  </sheetViews>
  <sheetFormatPr defaultRowHeight="0"/>
  <cols>
    <col collapsed="false" customWidth="true" hidden="false" max="4" min="4" style="0" width="46.70422535211268"/>
    <col collapsed="false" customWidth="true" hidden="false" max="5" min="5" style="0" width="8.394366197183098"/>
    <col collapsed="false" customWidth="true" hidden="false" max="1" min="1" style="0" width="46.70422535211268"/>
    <col collapsed="false" customWidth="true" hidden="false" max="2" min="2" style="0" width="46.70422535211268"/>
    <col collapsed="false" customWidth="true" hidden="false" max="3" min="3" style="0" width="17.408450704225352"/>
  </cols>
  <sheetData>
    <row customHeight="true" ht="21.42857142857143" r="1">
      <c r="A1" s="1" t="s">
        <v>1</v>
      </c>
      <c r="B1" s="1"/>
      <c r="C1" s="1"/>
      <c r="D1" s="1"/>
      <c r="E1" s="1"/>
    </row>
    <row customHeight="true" ht="13.095238095238095" r="2">
      <c r="A2" s="2" t="s">
        <v>2</v>
      </c>
      <c r="B2" s="2"/>
      <c r="C2" s="2"/>
      <c r="D2" s="2"/>
      <c r="E2" s="2"/>
    </row>
    <row customHeight="true" ht="15.476190476190476" r="3">
      <c r="A3" s="3" t="s">
        <v>3</v>
      </c>
      <c r="B3" s="3"/>
      <c r="C3" s="3"/>
      <c r="D3" s="3"/>
      <c r="E3" s="3"/>
    </row>
    <row customHeight="true" ht="16.666666666666668" r="4">
      <c r="A4" s="4" t="s">
        <v>4</v>
      </c>
      <c r="B4" s="4" t="s">
        <v>5</v>
      </c>
      <c r="C4" s="4" t="s">
        <v>4</v>
      </c>
      <c r="D4" s="4" t="s">
        <v>5</v>
      </c>
      <c r="E4" s="5" t="s">
        <v>6</v>
      </c>
    </row>
    <row r="5">
      <c r="A5" s="6" t="s">
        <v>7</v>
      </c>
      <c r="B5" s="7" t="s">
        <v>8</v>
      </c>
      <c r="C5" s="6" t="s">
        <v>9</v>
      </c>
      <c r="D5" s="7" t="s">
        <v>10</v>
      </c>
      <c r="E5" s="5" t="s">
        <v>6</v>
      </c>
    </row>
    <row r="6">
      <c r="A6" s="6" t="s">
        <v>11</v>
      </c>
      <c r="B6" s="7" t="s">
        <v>12</v>
      </c>
      <c r="C6" s="6" t="s">
        <v>13</v>
      </c>
      <c r="D6" s="7" t="s">
        <v>14</v>
      </c>
      <c r="E6" s="5" t="s">
        <v>6</v>
      </c>
    </row>
    <row r="7">
      <c r="A7" s="6" t="s">
        <v>15</v>
      </c>
      <c r="B7" s="7" t="s">
        <v>16</v>
      </c>
      <c r="C7" s="6" t="s">
        <v>17</v>
      </c>
      <c r="D7" s="7" t="s">
        <v>18</v>
      </c>
      <c r="E7" s="5" t="s">
        <v>6</v>
      </c>
    </row>
    <row r="8">
      <c r="A8" s="6" t="s">
        <v>19</v>
      </c>
      <c r="B8" s="7" t="s">
        <v>20</v>
      </c>
      <c r="C8" s="6" t="s">
        <v>21</v>
      </c>
      <c r="D8" s="7" t="s">
        <v>22</v>
      </c>
      <c r="E8" s="5" t="s">
        <v>6</v>
      </c>
    </row>
    <row r="9">
      <c r="A9" s="5" t="s">
        <v>23</v>
      </c>
      <c r="B9" s="5" t="s">
        <v>24</v>
      </c>
      <c r="C9" s="5" t="s">
        <v>25</v>
      </c>
      <c r="D9" s="5" t="s">
        <v>26</v>
      </c>
      <c r="E9" s="5" t="s">
        <v>6</v>
      </c>
    </row>
    <row customHeight="true" ht="15.476190476190476" r="10">
      <c r="A10" s="3" t="s">
        <v>27</v>
      </c>
      <c r="B10" s="3"/>
      <c r="C10" s="3"/>
      <c r="D10" s="3"/>
      <c r="E10" s="3"/>
    </row>
    <row customHeight="true" ht="16.666666666666668" r="11">
      <c r="A11" s="4" t="s">
        <v>28</v>
      </c>
      <c r="B11" s="4" t="s">
        <v>29</v>
      </c>
      <c r="C11" s="4" t="s">
        <v>30</v>
      </c>
      <c r="D11" s="4" t="s">
        <v>31</v>
      </c>
      <c r="E11" s="5" t="s">
        <v>6</v>
      </c>
    </row>
    <row r="12">
      <c r="A12" s="7" t="s">
        <v>32</v>
      </c>
      <c r="B12" s="8">
        <v>0.943</v>
      </c>
      <c r="C12" s="6" t="s">
        <v>33</v>
      </c>
      <c r="D12" s="7" t="s">
        <v>34</v>
      </c>
      <c r="E12" s="5" t="s">
        <v>6</v>
      </c>
    </row>
    <row r="13">
      <c r="A13" s="7" t="s">
        <v>35</v>
      </c>
      <c r="B13" s="9">
        <v>22.1</v>
      </c>
      <c r="C13" s="6" t="s">
        <v>36</v>
      </c>
      <c r="D13" s="7" t="s">
        <v>37</v>
      </c>
      <c r="E13" s="5" t="s">
        <v>6</v>
      </c>
    </row>
    <row r="14">
      <c r="A14" s="7" t="s">
        <v>38</v>
      </c>
      <c r="B14" s="9">
        <v>1.2</v>
      </c>
      <c r="C14" s="6" t="s">
        <v>39</v>
      </c>
      <c r="D14" s="7" t="s">
        <v>40</v>
      </c>
      <c r="E14" s="5" t="s">
        <v>6</v>
      </c>
    </row>
    <row r="15">
      <c r="A15" s="7" t="s">
        <v>41</v>
      </c>
      <c r="B15" s="10">
        <v>0.0031</v>
      </c>
      <c r="C15" s="6" t="s">
        <v>33</v>
      </c>
      <c r="D15" s="7" t="s">
        <v>42</v>
      </c>
      <c r="E15" s="5" t="s">
        <v>6</v>
      </c>
    </row>
    <row r="16">
      <c r="A16" s="7" t="s">
        <v>43</v>
      </c>
      <c r="B16" s="8">
        <v>0.972</v>
      </c>
      <c r="C16" s="6" t="s">
        <v>33</v>
      </c>
      <c r="D16" s="7" t="s">
        <v>44</v>
      </c>
      <c r="E16" s="5" t="s">
        <v>6</v>
      </c>
    </row>
    <row r="17">
      <c r="A17" s="7" t="s">
        <v>45</v>
      </c>
      <c r="B17" s="8">
        <v>0.967</v>
      </c>
      <c r="C17" s="6" t="s">
        <v>33</v>
      </c>
      <c r="D17" s="7" t="s">
        <v>46</v>
      </c>
      <c r="E17" s="5" t="s">
        <v>6</v>
      </c>
    </row>
    <row r="18">
      <c r="A18" s="7" t="s">
        <v>47</v>
      </c>
      <c r="B18" s="11">
        <v>4.63</v>
      </c>
      <c r="C18" s="6" t="s">
        <v>48</v>
      </c>
      <c r="D18" s="7" t="s">
        <v>49</v>
      </c>
      <c r="E18" s="5" t="s">
        <v>6</v>
      </c>
    </row>
    <row r="19">
      <c r="A19" s="7" t="s">
        <v>50</v>
      </c>
      <c r="B19" s="8">
        <v>0.978</v>
      </c>
      <c r="C19" s="6" t="s">
        <v>33</v>
      </c>
      <c r="D19" s="7" t="s">
        <v>51</v>
      </c>
      <c r="E19" s="5" t="s">
        <v>6</v>
      </c>
    </row>
    <row r="20">
      <c r="A20" s="7" t="s">
        <v>52</v>
      </c>
      <c r="B20" s="11">
        <v>0.31</v>
      </c>
      <c r="C20" s="6" t="s">
        <v>53</v>
      </c>
      <c r="D20" s="7" t="s">
        <v>54</v>
      </c>
      <c r="E20" s="5" t="s">
        <v>6</v>
      </c>
    </row>
    <row r="21">
      <c r="A21" s="7" t="s">
        <v>55</v>
      </c>
      <c r="B21" s="12">
        <v>233</v>
      </c>
      <c r="C21" s="6" t="s">
        <v>56</v>
      </c>
      <c r="D21" s="7" t="s">
        <v>57</v>
      </c>
      <c r="E21" s="5" t="s">
        <v>6</v>
      </c>
    </row>
    <row customHeight="true" ht="15.476190476190476" r="22">
      <c r="A22" s="13" t="s">
        <v>58</v>
      </c>
      <c r="B22" s="13"/>
      <c r="C22" s="13"/>
      <c r="D22" s="13"/>
      <c r="E22" s="13"/>
    </row>
    <row customHeight="true" ht="16.666666666666668" r="23">
      <c r="A23" s="4" t="s">
        <v>59</v>
      </c>
      <c r="B23" s="14" t="s">
        <v>60</v>
      </c>
      <c r="C23" s="14" t="s">
        <v>61</v>
      </c>
      <c r="D23" s="14" t="s">
        <v>62</v>
      </c>
      <c r="E23" s="14" t="s">
        <v>63</v>
      </c>
    </row>
    <row customHeight="true" ht="22" r="24">
      <c r="A24" s="4" t="s">
        <v>64</v>
      </c>
      <c r="B24" s="4" t="s">
        <v>65</v>
      </c>
      <c r="C24" s="4" t="s">
        <v>66</v>
      </c>
      <c r="D24" s="4" t="s">
        <v>67</v>
      </c>
      <c r="E24" s="5" t="s">
        <v>68</v>
      </c>
    </row>
    <row r="25">
      <c r="A25" s="7" t="s">
        <v>69</v>
      </c>
      <c r="B25" s="7" t="s">
        <v>70</v>
      </c>
      <c r="C25" s="6" t="s">
        <v>71</v>
      </c>
      <c r="D25" s="6" t="s">
        <v>72</v>
      </c>
      <c r="E25" s="5" t="s">
        <v>68</v>
      </c>
    </row>
    <row r="26">
      <c r="A26" s="7" t="s">
        <v>73</v>
      </c>
      <c r="B26" s="7" t="s">
        <v>74</v>
      </c>
      <c r="C26" s="7" t="s">
        <v>75</v>
      </c>
      <c r="D26" s="6" t="s">
        <v>76</v>
      </c>
      <c r="E26" s="5" t="s">
        <v>68</v>
      </c>
    </row>
    <row r="27">
      <c r="A27" s="7" t="s">
        <v>77</v>
      </c>
      <c r="B27" s="7" t="s">
        <v>78</v>
      </c>
      <c r="C27" s="7" t="s">
        <v>79</v>
      </c>
      <c r="D27" s="6" t="s">
        <v>80</v>
      </c>
      <c r="E27" s="5" t="s">
        <v>68</v>
      </c>
    </row>
    <row r="28">
      <c r="A28" s="7" t="s">
        <v>81</v>
      </c>
      <c r="B28" s="7" t="s">
        <v>82</v>
      </c>
      <c r="C28" s="7" t="s">
        <v>83</v>
      </c>
      <c r="D28" s="6" t="s">
        <v>84</v>
      </c>
      <c r="E28" s="5" t="s">
        <v>68</v>
      </c>
    </row>
    <row r="29">
      <c r="A29" s="7" t="s">
        <v>85</v>
      </c>
      <c r="B29" s="7" t="s">
        <v>86</v>
      </c>
      <c r="C29" s="7" t="s">
        <v>87</v>
      </c>
      <c r="D29" s="6" t="s">
        <v>72</v>
      </c>
      <c r="E29" s="5" t="s">
        <v>88</v>
      </c>
    </row>
    <row r="30">
      <c r="A30" s="7" t="s">
        <v>89</v>
      </c>
      <c r="B30" s="7" t="s">
        <v>90</v>
      </c>
      <c r="C30" s="7" t="s">
        <v>91</v>
      </c>
      <c r="D30" s="6" t="s">
        <v>92</v>
      </c>
      <c r="E30" s="5" t="s">
        <v>93</v>
      </c>
    </row>
    <row r="31">
      <c r="A31" s="7" t="s">
        <v>94</v>
      </c>
      <c r="B31" s="7" t="s">
        <v>95</v>
      </c>
      <c r="C31" s="7" t="s">
        <v>96</v>
      </c>
      <c r="D31" s="6" t="s">
        <v>97</v>
      </c>
      <c r="E31" s="5" t="s">
        <v>68</v>
      </c>
    </row>
    <row r="32">
      <c r="A32" s="7" t="s">
        <v>98</v>
      </c>
      <c r="B32" s="7" t="s">
        <v>99</v>
      </c>
      <c r="C32" s="7" t="s">
        <v>100</v>
      </c>
      <c r="D32" s="6" t="s">
        <v>101</v>
      </c>
      <c r="E32" s="5" t="s">
        <v>68</v>
      </c>
    </row>
    <row r="33">
      <c r="A33" s="7" t="s">
        <v>102</v>
      </c>
      <c r="B33" s="7" t="s">
        <v>103</v>
      </c>
      <c r="C33" s="6" t="s">
        <v>104</v>
      </c>
      <c r="D33" s="6" t="s">
        <v>72</v>
      </c>
      <c r="E33" s="5" t="s">
        <v>105</v>
      </c>
    </row>
    <row r="34">
      <c r="A34" s="7" t="s">
        <v>106</v>
      </c>
      <c r="B34" s="7" t="s">
        <v>107</v>
      </c>
      <c r="C34" s="6" t="s">
        <v>108</v>
      </c>
      <c r="D34" s="6" t="s">
        <v>101</v>
      </c>
      <c r="E34" s="5" t="s">
        <v>68</v>
      </c>
    </row>
    <row r="35">
      <c r="A35" s="7" t="s">
        <v>109</v>
      </c>
      <c r="B35" s="7" t="s">
        <v>110</v>
      </c>
      <c r="C35" s="7" t="s">
        <v>111</v>
      </c>
      <c r="D35" s="6" t="s">
        <v>112</v>
      </c>
      <c r="E35" s="5" t="s">
        <v>68</v>
      </c>
    </row>
    <row r="36">
      <c r="A36" s="7" t="s">
        <v>113</v>
      </c>
      <c r="B36" s="7" t="s">
        <v>114</v>
      </c>
      <c r="C36" s="7" t="s">
        <v>33</v>
      </c>
      <c r="D36" s="6" t="s">
        <v>33</v>
      </c>
      <c r="E36" s="5" t="s">
        <v>33</v>
      </c>
    </row>
  </sheetData>
  <mergeCells>
    <mergeCell ref="A1:E1"/>
    <mergeCell ref="A2:E2"/>
    <mergeCell ref="A3:E3"/>
    <mergeCell ref="A10:E10"/>
    <mergeCell ref="A22:E22"/>
  </mergeCells>
  <pageMargins bottom="1" footer="0.5" header="0.5" left="0.75" right="0.75" top="1"/>
  <drawing r:id="rId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3" ySplit="2"/>
    </sheetView>
  </sheetViews>
  <sheetFormatPr defaultRowHeight="0"/>
  <cols>
    <col collapsed="false" customWidth="true" hidden="false" max="1" min="1" style="0" width="46.70422535211268"/>
    <col collapsed="false" customWidth="true" hidden="false" max="2" min="2" style="0" width="16.507042253521128"/>
    <col collapsed="false" customWidth="true" hidden="false" max="4" min="4" style="0" width="38.140845070422536"/>
    <col collapsed="false" customWidth="true" hidden="false" max="5" min="5" style="0" width="12.901408450704226"/>
    <col collapsed="false" customWidth="true" hidden="false" max="7" min="7" style="0" width="9.295774647887324"/>
    <col collapsed="false" customWidth="true" hidden="false" max="3" min="3" style="0" width="8.394366197183098"/>
    <col collapsed="false" customWidth="true" hidden="false" max="6" min="6" style="0" width="15.605633802816902"/>
    <col collapsed="false" customWidth="true" hidden="false" max="8" min="8" style="0" width="8.394366197183098"/>
    <col collapsed="false" customWidth="true" hidden="false" max="9" min="9" style="0" width="25.52112676056338"/>
  </cols>
  <sheetData>
    <row customHeight="true" ht="21.42857142857143" r="1">
      <c r="A1" s="15" t="s">
        <v>115</v>
      </c>
      <c r="B1" s="15"/>
      <c r="C1" s="15"/>
      <c r="D1" s="15"/>
      <c r="E1" s="15"/>
      <c r="F1" s="15"/>
      <c r="G1" s="15"/>
      <c r="H1" s="15"/>
      <c r="I1" s="15"/>
    </row>
    <row customHeight="true" ht="13.095238095238095" r="2">
      <c r="A2" s="16" t="s">
        <v>116</v>
      </c>
      <c r="B2" s="16"/>
      <c r="C2" s="16"/>
      <c r="D2" s="16"/>
      <c r="E2" s="16"/>
      <c r="F2" s="16"/>
      <c r="G2" s="16"/>
      <c r="H2" s="16"/>
      <c r="I2" s="16"/>
    </row>
    <row customHeight="true" ht="16.666666666666668" r="3">
      <c r="A3" s="17" t="s">
        <v>117</v>
      </c>
      <c r="B3" s="17" t="s">
        <v>118</v>
      </c>
      <c r="C3" s="17" t="s">
        <v>119</v>
      </c>
      <c r="D3" s="17" t="s">
        <v>120</v>
      </c>
      <c r="E3" s="17" t="s">
        <v>121</v>
      </c>
      <c r="F3" s="17" t="s">
        <v>122</v>
      </c>
      <c r="G3" s="17" t="s">
        <v>123</v>
      </c>
      <c r="H3" s="17" t="s">
        <v>124</v>
      </c>
      <c r="I3" s="17" t="s">
        <v>125</v>
      </c>
    </row>
    <row r="4">
      <c r="A4" s="18" t="s">
        <v>126</v>
      </c>
      <c r="B4" s="19" t="s">
        <v>127</v>
      </c>
      <c r="C4" s="18" t="s">
        <v>128</v>
      </c>
      <c r="D4" s="19" t="s">
        <v>129</v>
      </c>
      <c r="E4" s="18" t="s">
        <v>130</v>
      </c>
      <c r="F4" s="19" t="s">
        <v>131</v>
      </c>
      <c r="G4" s="18" t="s">
        <v>132</v>
      </c>
      <c r="H4" s="20" t="s">
        <v>133</v>
      </c>
      <c r="I4" s="19" t="s">
        <v>134</v>
      </c>
    </row>
    <row r="5">
      <c r="A5" s="18" t="s">
        <v>135</v>
      </c>
      <c r="B5" s="19" t="s">
        <v>136</v>
      </c>
      <c r="C5" s="18" t="s">
        <v>128</v>
      </c>
      <c r="D5" s="19" t="s">
        <v>137</v>
      </c>
      <c r="E5" s="18" t="s">
        <v>138</v>
      </c>
      <c r="F5" s="19" t="s">
        <v>139</v>
      </c>
      <c r="G5" s="18" t="s">
        <v>132</v>
      </c>
      <c r="H5" s="20" t="s">
        <v>133</v>
      </c>
      <c r="I5" s="19" t="s">
        <v>140</v>
      </c>
    </row>
    <row r="6">
      <c r="A6" s="18" t="s">
        <v>141</v>
      </c>
      <c r="B6" s="18" t="s">
        <v>142</v>
      </c>
      <c r="C6" s="18" t="s">
        <v>128</v>
      </c>
      <c r="D6" s="19" t="s">
        <v>143</v>
      </c>
      <c r="E6" s="19" t="s">
        <v>144</v>
      </c>
      <c r="F6" s="18" t="s">
        <v>145</v>
      </c>
      <c r="G6" s="18" t="s">
        <v>146</v>
      </c>
      <c r="H6" s="20" t="s">
        <v>133</v>
      </c>
      <c r="I6" s="19" t="s">
        <v>147</v>
      </c>
    </row>
    <row r="7">
      <c r="A7" s="18" t="s">
        <v>148</v>
      </c>
      <c r="B7" s="19" t="s">
        <v>149</v>
      </c>
      <c r="C7" s="18" t="s">
        <v>128</v>
      </c>
      <c r="D7" s="19" t="s">
        <v>150</v>
      </c>
      <c r="E7" s="19" t="s">
        <v>151</v>
      </c>
      <c r="F7" s="19" t="s">
        <v>152</v>
      </c>
      <c r="G7" s="18" t="s">
        <v>153</v>
      </c>
      <c r="H7" s="20" t="s">
        <v>133</v>
      </c>
      <c r="I7" s="19" t="s">
        <v>154</v>
      </c>
    </row>
    <row r="8">
      <c r="A8" s="18" t="s">
        <v>155</v>
      </c>
      <c r="B8" s="19" t="s">
        <v>156</v>
      </c>
      <c r="C8" s="18" t="s">
        <v>157</v>
      </c>
      <c r="D8" s="19" t="s">
        <v>158</v>
      </c>
      <c r="E8" s="18" t="s">
        <v>159</v>
      </c>
      <c r="F8" s="19" t="s">
        <v>160</v>
      </c>
      <c r="G8" s="18" t="s">
        <v>161</v>
      </c>
      <c r="H8" s="20" t="s">
        <v>133</v>
      </c>
      <c r="I8" s="19" t="s">
        <v>162</v>
      </c>
    </row>
    <row r="9">
      <c r="A9" s="18" t="s">
        <v>163</v>
      </c>
      <c r="B9" s="18" t="s">
        <v>164</v>
      </c>
      <c r="C9" s="18" t="s">
        <v>157</v>
      </c>
      <c r="D9" s="19" t="s">
        <v>165</v>
      </c>
      <c r="E9" s="18" t="s">
        <v>166</v>
      </c>
      <c r="F9" s="18" t="s">
        <v>167</v>
      </c>
      <c r="G9" s="18" t="s">
        <v>168</v>
      </c>
      <c r="H9" s="20" t="s">
        <v>133</v>
      </c>
      <c r="I9" s="19" t="s">
        <v>169</v>
      </c>
    </row>
    <row r="10">
      <c r="A10" s="18" t="s">
        <v>170</v>
      </c>
      <c r="B10" s="19" t="s">
        <v>171</v>
      </c>
      <c r="C10" s="18" t="s">
        <v>157</v>
      </c>
      <c r="D10" s="19" t="s">
        <v>172</v>
      </c>
      <c r="E10" s="19" t="s">
        <v>173</v>
      </c>
      <c r="F10" s="19" t="s">
        <v>174</v>
      </c>
      <c r="G10" s="19" t="s">
        <v>175</v>
      </c>
      <c r="H10" s="20" t="s">
        <v>133</v>
      </c>
      <c r="I10" s="19" t="s">
        <v>176</v>
      </c>
    </row>
    <row r="11">
      <c r="A11" s="18" t="s">
        <v>177</v>
      </c>
      <c r="B11" s="19" t="s">
        <v>178</v>
      </c>
      <c r="C11" s="18" t="s">
        <v>157</v>
      </c>
      <c r="D11" s="19" t="s">
        <v>179</v>
      </c>
      <c r="E11" s="18" t="s">
        <v>180</v>
      </c>
      <c r="F11" s="18" t="s">
        <v>181</v>
      </c>
      <c r="G11" s="18" t="s">
        <v>182</v>
      </c>
      <c r="H11" s="20" t="s">
        <v>133</v>
      </c>
      <c r="I11" s="19" t="s">
        <v>183</v>
      </c>
    </row>
    <row r="12">
      <c r="A12" s="18" t="s">
        <v>184</v>
      </c>
      <c r="B12" s="19" t="s">
        <v>185</v>
      </c>
      <c r="C12" s="18" t="s">
        <v>157</v>
      </c>
      <c r="D12" s="19" t="s">
        <v>186</v>
      </c>
      <c r="E12" s="19" t="s">
        <v>187</v>
      </c>
      <c r="F12" s="18" t="s">
        <v>188</v>
      </c>
      <c r="G12" s="18" t="s">
        <v>189</v>
      </c>
      <c r="H12" s="20" t="s">
        <v>133</v>
      </c>
      <c r="I12" s="19" t="s">
        <v>190</v>
      </c>
    </row>
    <row r="13">
      <c r="A13" s="18" t="s">
        <v>191</v>
      </c>
      <c r="B13" s="19" t="s">
        <v>192</v>
      </c>
      <c r="C13" s="18" t="s">
        <v>193</v>
      </c>
      <c r="D13" s="19" t="s">
        <v>194</v>
      </c>
      <c r="E13" s="18" t="s">
        <v>195</v>
      </c>
      <c r="F13" s="18" t="s">
        <v>196</v>
      </c>
      <c r="G13" s="18" t="s">
        <v>197</v>
      </c>
      <c r="H13" s="20" t="s">
        <v>133</v>
      </c>
      <c r="I13" s="19" t="s">
        <v>198</v>
      </c>
    </row>
    <row r="14">
      <c r="A14" s="18" t="s">
        <v>199</v>
      </c>
      <c r="B14" s="19" t="s">
        <v>200</v>
      </c>
      <c r="C14" s="18" t="s">
        <v>193</v>
      </c>
      <c r="D14" s="19" t="s">
        <v>201</v>
      </c>
      <c r="E14" s="18" t="s">
        <v>202</v>
      </c>
      <c r="F14" s="18" t="s">
        <v>203</v>
      </c>
      <c r="G14" s="18" t="s">
        <v>204</v>
      </c>
      <c r="H14" s="20" t="s">
        <v>133</v>
      </c>
      <c r="I14" s="19" t="s">
        <v>205</v>
      </c>
    </row>
    <row r="15">
      <c r="A15" s="18" t="s">
        <v>206</v>
      </c>
      <c r="B15" s="19" t="s">
        <v>207</v>
      </c>
      <c r="C15" s="18" t="s">
        <v>193</v>
      </c>
      <c r="D15" s="19" t="s">
        <v>208</v>
      </c>
      <c r="E15" s="18" t="s">
        <v>195</v>
      </c>
      <c r="F15" s="19" t="s">
        <v>209</v>
      </c>
      <c r="G15" s="18" t="s">
        <v>210</v>
      </c>
      <c r="H15" s="20" t="s">
        <v>133</v>
      </c>
      <c r="I15" s="19" t="s">
        <v>211</v>
      </c>
    </row>
    <row r="16">
      <c r="A16" s="18" t="s">
        <v>212</v>
      </c>
      <c r="B16" s="19" t="s">
        <v>213</v>
      </c>
      <c r="C16" s="18" t="s">
        <v>193</v>
      </c>
      <c r="D16" s="19" t="s">
        <v>214</v>
      </c>
      <c r="E16" s="18" t="s">
        <v>215</v>
      </c>
      <c r="F16" s="18" t="s">
        <v>216</v>
      </c>
      <c r="G16" s="18" t="s">
        <v>217</v>
      </c>
      <c r="H16" s="20" t="s">
        <v>133</v>
      </c>
      <c r="I16" s="19" t="s">
        <v>218</v>
      </c>
    </row>
    <row r="17">
      <c r="A17" s="18" t="s">
        <v>219</v>
      </c>
      <c r="B17" s="18" t="s">
        <v>220</v>
      </c>
      <c r="C17" s="18" t="s">
        <v>193</v>
      </c>
      <c r="D17" s="19" t="s">
        <v>221</v>
      </c>
      <c r="E17" s="18" t="s">
        <v>222</v>
      </c>
      <c r="F17" s="18" t="s">
        <v>223</v>
      </c>
      <c r="G17" s="18" t="s">
        <v>182</v>
      </c>
      <c r="H17" s="21" t="s">
        <v>224</v>
      </c>
      <c r="I17" s="19" t="s">
        <v>225</v>
      </c>
    </row>
    <row r="18">
      <c r="A18" s="18" t="s">
        <v>226</v>
      </c>
      <c r="B18" s="18" t="s">
        <v>227</v>
      </c>
      <c r="C18" s="18" t="s">
        <v>193</v>
      </c>
      <c r="D18" s="19" t="s">
        <v>228</v>
      </c>
      <c r="E18" s="18" t="s">
        <v>229</v>
      </c>
      <c r="F18" s="18" t="s">
        <v>230</v>
      </c>
      <c r="G18" s="18" t="s">
        <v>231</v>
      </c>
      <c r="H18" s="20" t="s">
        <v>133</v>
      </c>
      <c r="I18" s="19" t="s">
        <v>232</v>
      </c>
    </row>
    <row r="19">
      <c r="A19" s="18" t="s">
        <v>233</v>
      </c>
      <c r="B19" s="19" t="s">
        <v>234</v>
      </c>
      <c r="C19" s="18" t="s">
        <v>235</v>
      </c>
      <c r="D19" s="19" t="s">
        <v>236</v>
      </c>
      <c r="E19" s="18" t="s">
        <v>237</v>
      </c>
      <c r="F19" s="19" t="s">
        <v>238</v>
      </c>
      <c r="G19" s="18" t="s">
        <v>239</v>
      </c>
      <c r="H19" s="20" t="s">
        <v>133</v>
      </c>
      <c r="I19" s="19" t="s">
        <v>240</v>
      </c>
    </row>
    <row r="20">
      <c r="A20" s="18" t="s">
        <v>241</v>
      </c>
      <c r="B20" s="19" t="s">
        <v>242</v>
      </c>
      <c r="C20" s="18" t="s">
        <v>235</v>
      </c>
      <c r="D20" s="19" t="s">
        <v>243</v>
      </c>
      <c r="E20" s="18" t="s">
        <v>244</v>
      </c>
      <c r="F20" s="18" t="s">
        <v>245</v>
      </c>
      <c r="G20" s="18" t="s">
        <v>246</v>
      </c>
      <c r="H20" s="20" t="s">
        <v>133</v>
      </c>
      <c r="I20" s="18" t="s">
        <v>247</v>
      </c>
    </row>
    <row r="21">
      <c r="A21" s="18" t="s">
        <v>248</v>
      </c>
      <c r="B21" s="19" t="s">
        <v>249</v>
      </c>
      <c r="C21" s="18" t="s">
        <v>235</v>
      </c>
      <c r="D21" s="19" t="s">
        <v>250</v>
      </c>
      <c r="E21" s="18" t="s">
        <v>251</v>
      </c>
      <c r="F21" s="19" t="s">
        <v>252</v>
      </c>
      <c r="G21" s="18" t="s">
        <v>253</v>
      </c>
      <c r="H21" s="20" t="s">
        <v>133</v>
      </c>
      <c r="I21" s="19" t="s">
        <v>254</v>
      </c>
    </row>
    <row r="22">
      <c r="A22" s="18" t="s">
        <v>255</v>
      </c>
      <c r="B22" s="19" t="s">
        <v>256</v>
      </c>
      <c r="C22" s="18" t="s">
        <v>235</v>
      </c>
      <c r="D22" s="19" t="s">
        <v>257</v>
      </c>
      <c r="E22" s="19" t="s">
        <v>258</v>
      </c>
      <c r="F22" s="18" t="s">
        <v>259</v>
      </c>
      <c r="G22" s="18" t="s">
        <v>260</v>
      </c>
      <c r="H22" s="21" t="s">
        <v>224</v>
      </c>
      <c r="I22" s="19" t="s">
        <v>261</v>
      </c>
    </row>
    <row r="23">
      <c r="A23" s="18" t="s">
        <v>262</v>
      </c>
      <c r="B23" s="19" t="s">
        <v>263</v>
      </c>
      <c r="C23" s="18" t="s">
        <v>235</v>
      </c>
      <c r="D23" s="19" t="s">
        <v>264</v>
      </c>
      <c r="E23" s="18" t="s">
        <v>265</v>
      </c>
      <c r="F23" s="19" t="s">
        <v>266</v>
      </c>
      <c r="G23" s="18" t="s">
        <v>267</v>
      </c>
      <c r="H23" s="20" t="s">
        <v>133</v>
      </c>
      <c r="I23" s="18" t="s">
        <v>268</v>
      </c>
    </row>
    <row r="24">
      <c r="A24" s="18" t="s">
        <v>269</v>
      </c>
      <c r="B24" s="19" t="s">
        <v>270</v>
      </c>
      <c r="C24" s="18" t="s">
        <v>235</v>
      </c>
      <c r="D24" s="19" t="s">
        <v>271</v>
      </c>
      <c r="E24" s="18" t="s">
        <v>272</v>
      </c>
      <c r="F24" s="18" t="s">
        <v>273</v>
      </c>
      <c r="G24" s="18" t="s">
        <v>274</v>
      </c>
      <c r="H24" s="20" t="s">
        <v>133</v>
      </c>
      <c r="I24" s="19" t="s">
        <v>275</v>
      </c>
    </row>
    <row r="25">
      <c r="A25" s="18" t="s">
        <v>276</v>
      </c>
      <c r="B25" s="19" t="s">
        <v>277</v>
      </c>
      <c r="C25" s="18" t="s">
        <v>278</v>
      </c>
      <c r="D25" s="19" t="s">
        <v>279</v>
      </c>
      <c r="E25" s="18" t="s">
        <v>280</v>
      </c>
      <c r="F25" s="18" t="s">
        <v>281</v>
      </c>
      <c r="G25" s="18" t="s">
        <v>282</v>
      </c>
      <c r="H25" s="20" t="s">
        <v>133</v>
      </c>
      <c r="I25" s="19" t="s">
        <v>283</v>
      </c>
    </row>
    <row r="26">
      <c r="A26" s="18" t="s">
        <v>284</v>
      </c>
      <c r="B26" s="19" t="s">
        <v>285</v>
      </c>
      <c r="C26" s="18" t="s">
        <v>278</v>
      </c>
      <c r="D26" s="19" t="s">
        <v>286</v>
      </c>
      <c r="E26" s="18" t="s">
        <v>287</v>
      </c>
      <c r="F26" s="18" t="s">
        <v>288</v>
      </c>
      <c r="G26" s="18" t="s">
        <v>289</v>
      </c>
      <c r="H26" s="20" t="s">
        <v>133</v>
      </c>
      <c r="I26" s="18" t="s">
        <v>290</v>
      </c>
    </row>
    <row r="27">
      <c r="A27" s="18" t="s">
        <v>291</v>
      </c>
      <c r="B27" s="19" t="s">
        <v>292</v>
      </c>
      <c r="C27" s="18" t="s">
        <v>278</v>
      </c>
      <c r="D27" s="19" t="s">
        <v>293</v>
      </c>
      <c r="E27" s="18" t="s">
        <v>294</v>
      </c>
      <c r="F27" s="18" t="s">
        <v>295</v>
      </c>
      <c r="G27" s="18" t="s">
        <v>296</v>
      </c>
      <c r="H27" s="20" t="s">
        <v>133</v>
      </c>
      <c r="I27" s="19" t="s">
        <v>297</v>
      </c>
    </row>
    <row r="28">
      <c r="A28" s="22" t="s">
        <v>298</v>
      </c>
      <c r="B28" s="22" t="s">
        <v>299</v>
      </c>
      <c r="C28" s="22" t="s">
        <v>300</v>
      </c>
      <c r="D28" s="22" t="s">
        <v>301</v>
      </c>
      <c r="E28" s="22" t="s">
        <v>300</v>
      </c>
      <c r="F28" s="22" t="s">
        <v>300</v>
      </c>
      <c r="G28" s="22" t="s">
        <v>300</v>
      </c>
      <c r="H28" s="22" t="s">
        <v>300</v>
      </c>
      <c r="I28" s="22">
        <f>COUNTIF(A4:A27,"F*")&amp;" 项"</f>
      </c>
    </row>
  </sheetData>
  <mergeCells>
    <mergeCell ref="A1:I1"/>
    <mergeCell ref="A2:I2"/>
  </mergeCells>
  <pageMargins bottom="1" footer="0.5" header="0.5" left="0.75" right="0.75" top="1"/>
  <drawing r:id="rId1"/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3" ySplit="2"/>
    </sheetView>
  </sheetViews>
  <sheetFormatPr defaultRowHeight="0"/>
  <cols>
    <col collapsed="false" customWidth="true" hidden="false" max="2" min="2" style="0" width="39.04225352112676"/>
    <col collapsed="false" customWidth="true" hidden="false" max="4" min="4" style="0" width="11.098591549295774"/>
    <col collapsed="false" customWidth="true" hidden="false" max="6" min="6" style="0" width="15.605633802816902"/>
    <col collapsed="false" customWidth="true" hidden="false" max="8" min="8" style="0" width="12"/>
    <col collapsed="false" customWidth="true" hidden="false" max="1" min="1" style="0" width="46.70422535211268"/>
    <col collapsed="false" customWidth="true" hidden="false" max="3" min="3" style="0" width="23.718309859154928"/>
    <col collapsed="false" customWidth="true" hidden="false" max="5" min="5" style="0" width="10.19718309859155"/>
    <col collapsed="false" customWidth="true" hidden="false" max="7" min="7" style="0" width="8.394366197183098"/>
  </cols>
  <sheetData>
    <row customHeight="true" ht="21.42857142857143" r="1">
      <c r="A1" s="23" t="s">
        <v>302</v>
      </c>
      <c r="B1" s="23"/>
      <c r="C1" s="23"/>
      <c r="D1" s="23"/>
      <c r="E1" s="23"/>
      <c r="F1" s="23"/>
      <c r="G1" s="23"/>
      <c r="H1" s="23"/>
    </row>
    <row customHeight="true" ht="13.095238095238095" r="2">
      <c r="A2" s="24" t="s">
        <v>303</v>
      </c>
      <c r="B2" s="24"/>
      <c r="C2" s="24"/>
      <c r="D2" s="24"/>
      <c r="E2" s="24"/>
      <c r="F2" s="24"/>
      <c r="G2" s="24"/>
      <c r="H2" s="24"/>
    </row>
    <row customHeight="true" ht="15.476190476190476" r="3">
      <c r="A3" s="25" t="s">
        <v>304</v>
      </c>
      <c r="B3" s="25"/>
      <c r="C3" s="25"/>
      <c r="D3" s="25"/>
      <c r="E3" s="25"/>
      <c r="F3" s="25"/>
      <c r="G3" s="25"/>
      <c r="H3" s="25"/>
    </row>
    <row customHeight="true" ht="16.666666666666668" r="4">
      <c r="A4" s="26" t="s">
        <v>305</v>
      </c>
      <c r="B4" s="26" t="s">
        <v>306</v>
      </c>
      <c r="C4" s="27" t="s">
        <v>307</v>
      </c>
      <c r="D4" s="27" t="s">
        <v>307</v>
      </c>
      <c r="E4" s="27" t="s">
        <v>307</v>
      </c>
      <c r="F4" s="27" t="s">
        <v>307</v>
      </c>
      <c r="G4" s="27" t="s">
        <v>307</v>
      </c>
      <c r="H4" s="27" t="s">
        <v>307</v>
      </c>
    </row>
    <row r="5">
      <c r="A5" s="28" t="s">
        <v>308</v>
      </c>
      <c r="B5" s="29" t="s">
        <v>309</v>
      </c>
      <c r="C5" s="27" t="s">
        <v>307</v>
      </c>
      <c r="D5" s="27" t="s">
        <v>307</v>
      </c>
      <c r="E5" s="27" t="s">
        <v>307</v>
      </c>
      <c r="F5" s="27" t="s">
        <v>307</v>
      </c>
      <c r="G5" s="27" t="s">
        <v>307</v>
      </c>
      <c r="H5" s="27" t="s">
        <v>307</v>
      </c>
    </row>
    <row r="6">
      <c r="A6" s="28" t="s">
        <v>310</v>
      </c>
      <c r="B6" s="29" t="s">
        <v>311</v>
      </c>
      <c r="C6" s="27" t="s">
        <v>307</v>
      </c>
      <c r="D6" s="27" t="s">
        <v>307</v>
      </c>
      <c r="E6" s="27" t="s">
        <v>307</v>
      </c>
      <c r="F6" s="27" t="s">
        <v>307</v>
      </c>
      <c r="G6" s="27" t="s">
        <v>307</v>
      </c>
      <c r="H6" s="27" t="s">
        <v>307</v>
      </c>
    </row>
    <row r="7">
      <c r="A7" s="28" t="s">
        <v>312</v>
      </c>
      <c r="B7" s="29" t="s">
        <v>313</v>
      </c>
      <c r="C7" s="27" t="s">
        <v>307</v>
      </c>
      <c r="D7" s="27" t="s">
        <v>307</v>
      </c>
      <c r="E7" s="27" t="s">
        <v>307</v>
      </c>
      <c r="F7" s="27" t="s">
        <v>307</v>
      </c>
      <c r="G7" s="27" t="s">
        <v>307</v>
      </c>
      <c r="H7" s="27" t="s">
        <v>307</v>
      </c>
    </row>
    <row r="8">
      <c r="A8" s="28" t="s">
        <v>314</v>
      </c>
      <c r="B8" s="29" t="s">
        <v>315</v>
      </c>
      <c r="C8" s="27" t="s">
        <v>307</v>
      </c>
      <c r="D8" s="27" t="s">
        <v>307</v>
      </c>
      <c r="E8" s="27" t="s">
        <v>307</v>
      </c>
      <c r="F8" s="27" t="s">
        <v>307</v>
      </c>
      <c r="G8" s="27" t="s">
        <v>307</v>
      </c>
      <c r="H8" s="27" t="s">
        <v>307</v>
      </c>
    </row>
    <row r="9">
      <c r="A9" s="29" t="s">
        <v>316</v>
      </c>
      <c r="B9" s="29" t="s">
        <v>317</v>
      </c>
      <c r="C9" s="27" t="s">
        <v>307</v>
      </c>
      <c r="D9" s="27" t="s">
        <v>307</v>
      </c>
      <c r="E9" s="27" t="s">
        <v>307</v>
      </c>
      <c r="F9" s="27" t="s">
        <v>307</v>
      </c>
      <c r="G9" s="27" t="s">
        <v>307</v>
      </c>
      <c r="H9" s="27" t="s">
        <v>307</v>
      </c>
    </row>
    <row customHeight="true" ht="15.476190476190476" r="10">
      <c r="A10" s="30" t="s">
        <v>318</v>
      </c>
      <c r="B10" s="30"/>
      <c r="C10" s="30"/>
      <c r="D10" s="30"/>
      <c r="E10" s="30"/>
      <c r="F10" s="30"/>
      <c r="G10" s="30"/>
      <c r="H10" s="30"/>
    </row>
    <row customHeight="true" ht="16.666666666666668" r="11">
      <c r="A11" s="26" t="s">
        <v>319</v>
      </c>
      <c r="B11" s="31" t="s">
        <v>320</v>
      </c>
      <c r="C11" s="31" t="s">
        <v>321</v>
      </c>
      <c r="D11" s="31" t="s">
        <v>322</v>
      </c>
      <c r="E11" s="31" t="s">
        <v>323</v>
      </c>
      <c r="F11" s="31" t="s">
        <v>324</v>
      </c>
      <c r="G11" s="27" t="s">
        <v>307</v>
      </c>
      <c r="H11" s="27" t="s">
        <v>307</v>
      </c>
    </row>
    <row customHeight="true" ht="22" r="12">
      <c r="A12" s="26" t="s">
        <v>325</v>
      </c>
      <c r="B12" s="26" t="s">
        <v>326</v>
      </c>
      <c r="C12" s="32">
        <v>240</v>
      </c>
      <c r="D12" s="33">
        <v>0.938</v>
      </c>
      <c r="E12" s="33">
        <v>0.902</v>
      </c>
      <c r="F12" s="26" t="s">
        <v>327</v>
      </c>
      <c r="G12" s="27" t="s">
        <v>307</v>
      </c>
      <c r="H12" s="27" t="s">
        <v>307</v>
      </c>
    </row>
    <row r="13">
      <c r="A13" s="28" t="s">
        <v>328</v>
      </c>
      <c r="B13" s="28" t="s">
        <v>329</v>
      </c>
      <c r="C13" s="34">
        <v>220</v>
      </c>
      <c r="D13" s="35">
        <v>0.957</v>
      </c>
      <c r="E13" s="35">
        <v>0.928</v>
      </c>
      <c r="F13" s="29" t="s">
        <v>330</v>
      </c>
      <c r="G13" s="27" t="s">
        <v>307</v>
      </c>
      <c r="H13" s="27" t="s">
        <v>307</v>
      </c>
    </row>
    <row r="14">
      <c r="A14" s="28" t="s">
        <v>331</v>
      </c>
      <c r="B14" s="28" t="s">
        <v>332</v>
      </c>
      <c r="C14" s="34">
        <v>210</v>
      </c>
      <c r="D14" s="35">
        <v>0.941</v>
      </c>
      <c r="E14" s="35">
        <v>0.906</v>
      </c>
      <c r="F14" s="29" t="s">
        <v>333</v>
      </c>
      <c r="G14" s="27" t="s">
        <v>307</v>
      </c>
      <c r="H14" s="27" t="s">
        <v>307</v>
      </c>
    </row>
    <row r="15">
      <c r="A15" s="28" t="s">
        <v>334</v>
      </c>
      <c r="B15" s="28" t="s">
        <v>335</v>
      </c>
      <c r="C15" s="34">
        <v>230</v>
      </c>
      <c r="D15" s="35">
        <v>0.949</v>
      </c>
      <c r="E15" s="35">
        <v>0.917</v>
      </c>
      <c r="F15" s="29" t="s">
        <v>336</v>
      </c>
      <c r="G15" s="27" t="s">
        <v>307</v>
      </c>
      <c r="H15" s="27" t="s">
        <v>307</v>
      </c>
    </row>
    <row r="16">
      <c r="A16" s="28" t="s">
        <v>337</v>
      </c>
      <c r="B16" s="28" t="s">
        <v>338</v>
      </c>
      <c r="C16" s="34">
        <v>180</v>
      </c>
      <c r="D16" s="35">
        <v>0.921</v>
      </c>
      <c r="E16" s="35">
        <v>0.884</v>
      </c>
      <c r="F16" s="28" t="s">
        <v>339</v>
      </c>
      <c r="G16" s="27" t="s">
        <v>307</v>
      </c>
      <c r="H16" s="27" t="s">
        <v>307</v>
      </c>
    </row>
    <row r="17">
      <c r="A17" s="28" t="s">
        <v>340</v>
      </c>
      <c r="B17" s="28" t="s">
        <v>341</v>
      </c>
      <c r="C17" s="34">
        <v>200</v>
      </c>
      <c r="D17" s="35">
        <v>0.963</v>
      </c>
      <c r="E17" s="35">
        <v>0.935</v>
      </c>
      <c r="F17" s="29" t="s">
        <v>342</v>
      </c>
      <c r="G17" s="27" t="s">
        <v>307</v>
      </c>
      <c r="H17" s="27" t="s">
        <v>307</v>
      </c>
    </row>
    <row r="18">
      <c r="A18" s="28" t="s">
        <v>343</v>
      </c>
      <c r="B18" s="28" t="s">
        <v>344</v>
      </c>
      <c r="C18" s="34">
        <v>190</v>
      </c>
      <c r="D18" s="35">
        <v>0.952</v>
      </c>
      <c r="E18" s="35">
        <v>0.921</v>
      </c>
      <c r="F18" s="28" t="s">
        <v>345</v>
      </c>
      <c r="G18" s="27" t="s">
        <v>307</v>
      </c>
      <c r="H18" s="27" t="s">
        <v>307</v>
      </c>
    </row>
    <row r="19">
      <c r="A19" s="28" t="s">
        <v>346</v>
      </c>
      <c r="B19" s="28" t="s">
        <v>347</v>
      </c>
      <c r="C19" s="34">
        <v>160</v>
      </c>
      <c r="D19" s="35">
        <v>0.971</v>
      </c>
      <c r="E19" s="35">
        <v>0.947</v>
      </c>
      <c r="F19" s="28" t="s">
        <v>348</v>
      </c>
      <c r="G19" s="27" t="s">
        <v>307</v>
      </c>
      <c r="H19" s="27" t="s">
        <v>307</v>
      </c>
    </row>
    <row r="20">
      <c r="A20" s="28" t="s">
        <v>349</v>
      </c>
      <c r="B20" s="28" t="s">
        <v>350</v>
      </c>
      <c r="C20" s="34">
        <v>150</v>
      </c>
      <c r="D20" s="35">
        <v>0.915</v>
      </c>
      <c r="E20" s="35">
        <v>0.871</v>
      </c>
      <c r="F20" s="28" t="s">
        <v>351</v>
      </c>
      <c r="G20" s="27" t="s">
        <v>307</v>
      </c>
      <c r="H20" s="27" t="s">
        <v>307</v>
      </c>
    </row>
    <row r="21">
      <c r="A21" s="28" t="s">
        <v>352</v>
      </c>
      <c r="B21" s="28" t="s">
        <v>353</v>
      </c>
      <c r="C21" s="34">
        <v>140</v>
      </c>
      <c r="D21" s="35">
        <v>0.909</v>
      </c>
      <c r="E21" s="35">
        <v>0.866</v>
      </c>
      <c r="F21" s="29" t="s">
        <v>354</v>
      </c>
      <c r="G21" s="27" t="s">
        <v>307</v>
      </c>
      <c r="H21" s="27" t="s">
        <v>307</v>
      </c>
    </row>
    <row r="22">
      <c r="A22" s="28" t="s">
        <v>355</v>
      </c>
      <c r="B22" s="29" t="s">
        <v>356</v>
      </c>
      <c r="C22" s="34">
        <v>260</v>
      </c>
      <c r="D22" s="35">
        <v>0.958</v>
      </c>
      <c r="E22" s="35">
        <v>0.931</v>
      </c>
      <c r="F22" s="28" t="s">
        <v>357</v>
      </c>
      <c r="G22" s="27" t="s">
        <v>307</v>
      </c>
      <c r="H22" s="27" t="s">
        <v>307</v>
      </c>
    </row>
    <row r="23">
      <c r="A23" s="28" t="s">
        <v>358</v>
      </c>
      <c r="B23" s="28" t="s">
        <v>359</v>
      </c>
      <c r="C23" s="34">
        <v>170</v>
      </c>
      <c r="D23" s="35">
        <v>0.926</v>
      </c>
      <c r="E23" s="35">
        <v>0.892</v>
      </c>
      <c r="F23" s="29" t="s">
        <v>360</v>
      </c>
      <c r="G23" s="27" t="s">
        <v>307</v>
      </c>
      <c r="H23" s="27" t="s">
        <v>307</v>
      </c>
    </row>
    <row customHeight="true" ht="15.476190476190476" r="24">
      <c r="A24" s="25" t="s">
        <v>361</v>
      </c>
      <c r="B24" s="25"/>
      <c r="C24" s="25"/>
      <c r="D24" s="25"/>
      <c r="E24" s="25"/>
      <c r="F24" s="25"/>
      <c r="G24" s="25"/>
      <c r="H24" s="25"/>
    </row>
    <row customHeight="true" ht="16.666666666666668" r="25">
      <c r="A25" s="31" t="s">
        <v>362</v>
      </c>
      <c r="B25" s="31" t="s">
        <v>363</v>
      </c>
      <c r="C25" s="31" t="s">
        <v>364</v>
      </c>
      <c r="D25" s="31" t="s">
        <v>319</v>
      </c>
      <c r="E25" s="31" t="s">
        <v>365</v>
      </c>
      <c r="F25" s="31" t="s">
        <v>366</v>
      </c>
      <c r="G25" s="31" t="s">
        <v>367</v>
      </c>
      <c r="H25" s="31" t="s">
        <v>324</v>
      </c>
    </row>
    <row customHeight="true" ht="20" r="26">
      <c r="A26" s="25" t="s">
        <v>368</v>
      </c>
      <c r="B26" s="36">
        <v>1</v>
      </c>
      <c r="C26" s="27" t="s">
        <v>328</v>
      </c>
      <c r="D26" s="27" t="s">
        <v>329</v>
      </c>
      <c r="E26" s="37">
        <v>0.952</v>
      </c>
      <c r="F26" s="27" t="s">
        <v>369</v>
      </c>
      <c r="G26" s="38">
        <v>46.1</v>
      </c>
      <c r="H26" s="27" t="s">
        <v>370</v>
      </c>
    </row>
    <row customHeight="true" ht="22" r="27">
      <c r="A27" s="26" t="s">
        <v>368</v>
      </c>
      <c r="B27" s="32">
        <v>2</v>
      </c>
      <c r="C27" s="26" t="s">
        <v>325</v>
      </c>
      <c r="D27" s="26" t="s">
        <v>326</v>
      </c>
      <c r="E27" s="33">
        <v>0.907</v>
      </c>
      <c r="F27" s="26" t="s">
        <v>371</v>
      </c>
      <c r="G27" s="39">
        <v>44.8</v>
      </c>
      <c r="H27" s="26" t="s">
        <v>370</v>
      </c>
    </row>
    <row r="28">
      <c r="A28" s="29" t="s">
        <v>368</v>
      </c>
      <c r="B28" s="34">
        <v>3</v>
      </c>
      <c r="C28" s="28" t="s">
        <v>334</v>
      </c>
      <c r="D28" s="28" t="s">
        <v>335</v>
      </c>
      <c r="E28" s="35">
        <v>0.926</v>
      </c>
      <c r="F28" s="29" t="s">
        <v>372</v>
      </c>
      <c r="G28" s="40">
        <v>47.3</v>
      </c>
      <c r="H28" s="28" t="s">
        <v>373</v>
      </c>
    </row>
    <row r="29">
      <c r="A29" s="29" t="s">
        <v>368</v>
      </c>
      <c r="B29" s="34">
        <v>4</v>
      </c>
      <c r="C29" s="28" t="s">
        <v>331</v>
      </c>
      <c r="D29" s="28" t="s">
        <v>332</v>
      </c>
      <c r="E29" s="35">
        <v>0.894</v>
      </c>
      <c r="F29" s="29" t="s">
        <v>374</v>
      </c>
      <c r="G29" s="40">
        <v>45.9</v>
      </c>
      <c r="H29" s="28" t="s">
        <v>375</v>
      </c>
    </row>
    <row r="30">
      <c r="A30" s="29" t="s">
        <v>368</v>
      </c>
      <c r="B30" s="34">
        <v>5</v>
      </c>
      <c r="C30" s="28" t="s">
        <v>355</v>
      </c>
      <c r="D30" s="28" t="s">
        <v>356</v>
      </c>
      <c r="E30" s="35">
        <v>0.941</v>
      </c>
      <c r="F30" s="29" t="s">
        <v>376</v>
      </c>
      <c r="G30" s="40">
        <v>46.7</v>
      </c>
      <c r="H30" s="28" t="s">
        <v>377</v>
      </c>
    </row>
    <row r="31">
      <c r="A31" s="29" t="s">
        <v>368</v>
      </c>
      <c r="B31" s="34">
        <v>6</v>
      </c>
      <c r="C31" s="28" t="s">
        <v>340</v>
      </c>
      <c r="D31" s="28" t="s">
        <v>341</v>
      </c>
      <c r="E31" s="35">
        <v>0.958</v>
      </c>
      <c r="F31" s="29" t="s">
        <v>378</v>
      </c>
      <c r="G31" s="40">
        <v>45.2</v>
      </c>
      <c r="H31" s="28" t="s">
        <v>342</v>
      </c>
    </row>
    <row r="32">
      <c r="A32" s="29" t="s">
        <v>368</v>
      </c>
      <c r="B32" s="34">
        <v>7</v>
      </c>
      <c r="C32" s="28" t="s">
        <v>343</v>
      </c>
      <c r="D32" s="28" t="s">
        <v>344</v>
      </c>
      <c r="E32" s="35">
        <v>0.933</v>
      </c>
      <c r="F32" s="29" t="s">
        <v>379</v>
      </c>
      <c r="G32" s="40">
        <v>46.4</v>
      </c>
      <c r="H32" s="28" t="s">
        <v>370</v>
      </c>
    </row>
    <row r="33">
      <c r="A33" s="29" t="s">
        <v>368</v>
      </c>
      <c r="B33" s="34">
        <v>8</v>
      </c>
      <c r="C33" s="28" t="s">
        <v>337</v>
      </c>
      <c r="D33" s="28" t="s">
        <v>338</v>
      </c>
      <c r="E33" s="35">
        <v>0.856</v>
      </c>
      <c r="F33" s="29" t="s">
        <v>380</v>
      </c>
      <c r="G33" s="40">
        <v>48.1</v>
      </c>
      <c r="H33" s="28" t="s">
        <v>360</v>
      </c>
    </row>
    <row r="34">
      <c r="A34" s="29" t="s">
        <v>368</v>
      </c>
      <c r="B34" s="34">
        <v>9</v>
      </c>
      <c r="C34" s="28" t="s">
        <v>346</v>
      </c>
      <c r="D34" s="28" t="s">
        <v>347</v>
      </c>
      <c r="E34" s="35">
        <v>0.967</v>
      </c>
      <c r="F34" s="29" t="s">
        <v>381</v>
      </c>
      <c r="G34" s="40">
        <v>44.6</v>
      </c>
      <c r="H34" s="28" t="s">
        <v>370</v>
      </c>
    </row>
    <row r="35">
      <c r="A35" s="29" t="s">
        <v>368</v>
      </c>
      <c r="B35" s="34">
        <v>10</v>
      </c>
      <c r="C35" s="28" t="s">
        <v>352</v>
      </c>
      <c r="D35" s="28" t="s">
        <v>353</v>
      </c>
      <c r="E35" s="35">
        <v>0.842</v>
      </c>
      <c r="F35" s="29" t="s">
        <v>382</v>
      </c>
      <c r="G35" s="40">
        <v>48.9</v>
      </c>
      <c r="H35" s="28" t="s">
        <v>354</v>
      </c>
    </row>
    <row r="36">
      <c r="A36" s="29" t="s">
        <v>368</v>
      </c>
      <c r="B36" s="34">
        <v>11</v>
      </c>
      <c r="C36" s="28" t="s">
        <v>358</v>
      </c>
      <c r="D36" s="28" t="s">
        <v>359</v>
      </c>
      <c r="E36" s="35">
        <v>0.871</v>
      </c>
      <c r="F36" s="29" t="s">
        <v>383</v>
      </c>
      <c r="G36" s="40">
        <v>47.6</v>
      </c>
      <c r="H36" s="28" t="s">
        <v>360</v>
      </c>
    </row>
    <row r="37">
      <c r="A37" s="29" t="s">
        <v>368</v>
      </c>
      <c r="B37" s="34">
        <v>12</v>
      </c>
      <c r="C37" s="28" t="s">
        <v>349</v>
      </c>
      <c r="D37" s="28" t="s">
        <v>350</v>
      </c>
      <c r="E37" s="35">
        <v>0.839</v>
      </c>
      <c r="F37" s="29" t="s">
        <v>384</v>
      </c>
      <c r="G37" s="40">
        <v>49.3</v>
      </c>
      <c r="H37" s="28" t="s">
        <v>385</v>
      </c>
    </row>
    <row r="38">
      <c r="A38" s="29" t="s">
        <v>368</v>
      </c>
      <c r="B38" s="34">
        <v>13</v>
      </c>
      <c r="C38" s="28" t="s">
        <v>355</v>
      </c>
      <c r="D38" s="28" t="s">
        <v>356</v>
      </c>
      <c r="E38" s="35">
        <v>0.948</v>
      </c>
      <c r="F38" s="29" t="s">
        <v>386</v>
      </c>
      <c r="G38" s="40">
        <v>45.8</v>
      </c>
      <c r="H38" s="28" t="s">
        <v>387</v>
      </c>
    </row>
    <row r="39">
      <c r="A39" s="29" t="s">
        <v>368</v>
      </c>
      <c r="B39" s="34">
        <v>14</v>
      </c>
      <c r="C39" s="28" t="s">
        <v>328</v>
      </c>
      <c r="D39" s="28" t="s">
        <v>329</v>
      </c>
      <c r="E39" s="35">
        <v>0.921</v>
      </c>
      <c r="F39" s="29" t="s">
        <v>388</v>
      </c>
      <c r="G39" s="40">
        <v>46.2</v>
      </c>
      <c r="H39" s="28" t="s">
        <v>389</v>
      </c>
    </row>
    <row r="40">
      <c r="A40" s="29" t="s">
        <v>390</v>
      </c>
      <c r="B40" s="34">
        <v>15</v>
      </c>
      <c r="C40" s="28" t="s">
        <v>325</v>
      </c>
      <c r="D40" s="28" t="s">
        <v>326</v>
      </c>
      <c r="E40" s="35">
        <v>0.915</v>
      </c>
      <c r="F40" s="29" t="s">
        <v>391</v>
      </c>
      <c r="G40" s="40">
        <v>45.5</v>
      </c>
      <c r="H40" s="28" t="s">
        <v>392</v>
      </c>
    </row>
    <row r="41">
      <c r="A41" s="29" t="s">
        <v>390</v>
      </c>
      <c r="B41" s="34">
        <v>16</v>
      </c>
      <c r="C41" s="28" t="s">
        <v>334</v>
      </c>
      <c r="D41" s="28" t="s">
        <v>335</v>
      </c>
      <c r="E41" s="35">
        <v>0.909</v>
      </c>
      <c r="F41" s="29" t="s">
        <v>393</v>
      </c>
      <c r="G41" s="40">
        <v>46.9</v>
      </c>
      <c r="H41" s="28" t="s">
        <v>394</v>
      </c>
    </row>
    <row r="42">
      <c r="A42" s="29" t="s">
        <v>390</v>
      </c>
      <c r="B42" s="34">
        <v>17</v>
      </c>
      <c r="C42" s="28" t="s">
        <v>331</v>
      </c>
      <c r="D42" s="28" t="s">
        <v>332</v>
      </c>
      <c r="E42" s="35">
        <v>0.887</v>
      </c>
      <c r="F42" s="29" t="s">
        <v>395</v>
      </c>
      <c r="G42" s="40">
        <v>47.2</v>
      </c>
      <c r="H42" s="28" t="s">
        <v>396</v>
      </c>
    </row>
    <row r="43">
      <c r="A43" s="29" t="s">
        <v>390</v>
      </c>
      <c r="B43" s="34">
        <v>18</v>
      </c>
      <c r="C43" s="28" t="s">
        <v>340</v>
      </c>
      <c r="D43" s="28" t="s">
        <v>341</v>
      </c>
      <c r="E43" s="35">
        <v>0.951</v>
      </c>
      <c r="F43" s="29" t="s">
        <v>397</v>
      </c>
      <c r="G43" s="40">
        <v>45.1</v>
      </c>
      <c r="H43" s="28" t="s">
        <v>398</v>
      </c>
    </row>
    <row r="44">
      <c r="A44" s="27" t="s">
        <v>390</v>
      </c>
      <c r="B44" s="36">
        <v>19</v>
      </c>
      <c r="C44" s="27" t="s">
        <v>343</v>
      </c>
      <c r="D44" s="27" t="s">
        <v>344</v>
      </c>
      <c r="E44" s="37">
        <v>0.928</v>
      </c>
      <c r="F44" s="27" t="s">
        <v>399</v>
      </c>
      <c r="G44" s="38">
        <v>46</v>
      </c>
      <c r="H44" s="27" t="s">
        <v>370</v>
      </c>
    </row>
    <row customHeight="true" ht="20" r="45">
      <c r="A45" s="25" t="s">
        <v>390</v>
      </c>
      <c r="B45" s="36">
        <v>20</v>
      </c>
      <c r="C45" s="27" t="s">
        <v>337</v>
      </c>
      <c r="D45" s="27" t="s">
        <v>338</v>
      </c>
      <c r="E45" s="37">
        <v>0.861</v>
      </c>
      <c r="F45" s="27" t="s">
        <v>400</v>
      </c>
      <c r="G45" s="38">
        <v>48.4</v>
      </c>
      <c r="H45" s="27" t="s">
        <v>339</v>
      </c>
    </row>
    <row customHeight="true" ht="22" r="46">
      <c r="A46" s="26" t="s">
        <v>390</v>
      </c>
      <c r="B46" s="32">
        <v>21</v>
      </c>
      <c r="C46" s="26" t="s">
        <v>346</v>
      </c>
      <c r="D46" s="27" t="s">
        <v>347</v>
      </c>
      <c r="E46" s="37">
        <v>0.962</v>
      </c>
      <c r="F46" s="27" t="s">
        <v>401</v>
      </c>
      <c r="G46" s="38">
        <v>44.9</v>
      </c>
      <c r="H46" s="27" t="s">
        <v>370</v>
      </c>
    </row>
    <row r="47">
      <c r="A47" s="29" t="s">
        <v>390</v>
      </c>
      <c r="B47" s="41">
        <v>22</v>
      </c>
      <c r="C47" s="29" t="s">
        <v>352</v>
      </c>
      <c r="D47" s="27" t="s">
        <v>353</v>
      </c>
      <c r="E47" s="37">
        <v>0.833</v>
      </c>
      <c r="F47" s="27" t="s">
        <v>402</v>
      </c>
      <c r="G47" s="38">
        <v>49.6</v>
      </c>
      <c r="H47" s="27" t="s">
        <v>403</v>
      </c>
    </row>
    <row r="48">
      <c r="A48" s="29" t="s">
        <v>390</v>
      </c>
      <c r="B48" s="41">
        <v>23</v>
      </c>
      <c r="C48" s="29" t="s">
        <v>358</v>
      </c>
      <c r="D48" s="27" t="s">
        <v>359</v>
      </c>
      <c r="E48" s="37">
        <v>0.866</v>
      </c>
      <c r="F48" s="27" t="s">
        <v>404</v>
      </c>
      <c r="G48" s="38">
        <v>47.9</v>
      </c>
      <c r="H48" s="27" t="s">
        <v>360</v>
      </c>
    </row>
    <row r="49">
      <c r="A49" s="29" t="s">
        <v>390</v>
      </c>
      <c r="B49" s="41">
        <v>24</v>
      </c>
      <c r="C49" s="29" t="s">
        <v>349</v>
      </c>
      <c r="D49" s="27" t="s">
        <v>350</v>
      </c>
      <c r="E49" s="37">
        <v>0.845</v>
      </c>
      <c r="F49" s="27" t="s">
        <v>405</v>
      </c>
      <c r="G49" s="38">
        <v>48.7</v>
      </c>
      <c r="H49" s="27" t="s">
        <v>385</v>
      </c>
    </row>
    <row r="50">
      <c r="A50" s="27" t="s">
        <v>390</v>
      </c>
      <c r="B50" s="36">
        <v>25</v>
      </c>
      <c r="C50" s="27" t="s">
        <v>355</v>
      </c>
      <c r="D50" s="27" t="s">
        <v>356</v>
      </c>
      <c r="E50" s="37">
        <v>0.939</v>
      </c>
      <c r="F50" s="27" t="s">
        <v>406</v>
      </c>
      <c r="G50" s="38">
        <v>45.6</v>
      </c>
      <c r="H50" s="27" t="s">
        <v>377</v>
      </c>
    </row>
    <row r="51">
      <c r="A51" s="27" t="s">
        <v>390</v>
      </c>
      <c r="B51" s="36">
        <v>26</v>
      </c>
      <c r="C51" s="27" t="s">
        <v>328</v>
      </c>
      <c r="D51" s="27" t="s">
        <v>329</v>
      </c>
      <c r="E51" s="37">
        <v>0.947</v>
      </c>
      <c r="F51" s="27" t="s">
        <v>369</v>
      </c>
      <c r="G51" s="38">
        <v>45.3</v>
      </c>
      <c r="H51" s="27" t="s">
        <v>370</v>
      </c>
    </row>
    <row r="52">
      <c r="A52" s="27" t="s">
        <v>390</v>
      </c>
      <c r="B52" s="36">
        <v>27</v>
      </c>
      <c r="C52" s="27" t="s">
        <v>325</v>
      </c>
      <c r="D52" s="27" t="s">
        <v>326</v>
      </c>
      <c r="E52" s="37">
        <v>0.899</v>
      </c>
      <c r="F52" s="27" t="s">
        <v>371</v>
      </c>
      <c r="G52" s="38">
        <v>46.5</v>
      </c>
      <c r="H52" s="27" t="s">
        <v>407</v>
      </c>
    </row>
    <row r="53">
      <c r="A53" s="27" t="s">
        <v>390</v>
      </c>
      <c r="B53" s="36">
        <v>28</v>
      </c>
      <c r="C53" s="27" t="s">
        <v>334</v>
      </c>
      <c r="D53" s="27" t="s">
        <v>335</v>
      </c>
      <c r="E53" s="37">
        <v>0.918</v>
      </c>
      <c r="F53" s="27" t="s">
        <v>372</v>
      </c>
      <c r="G53" s="38">
        <v>46.8</v>
      </c>
      <c r="H53" s="27" t="s">
        <v>373</v>
      </c>
    </row>
    <row customHeight="true" ht="15.476190476190476" r="54">
      <c r="A54" s="30" t="s">
        <v>408</v>
      </c>
      <c r="B54" s="30"/>
      <c r="C54" s="30"/>
      <c r="D54" s="30"/>
      <c r="E54" s="30"/>
      <c r="F54" s="30"/>
      <c r="G54" s="30"/>
      <c r="H54" s="30"/>
    </row>
    <row customHeight="true" ht="16.666666666666668" r="55">
      <c r="A55" s="31" t="s">
        <v>409</v>
      </c>
      <c r="B55" s="31" t="s">
        <v>410</v>
      </c>
      <c r="C55" s="31" t="s">
        <v>411</v>
      </c>
      <c r="D55" s="27" t="s">
        <v>307</v>
      </c>
      <c r="E55" s="27" t="s">
        <v>307</v>
      </c>
      <c r="F55" s="27" t="s">
        <v>307</v>
      </c>
      <c r="G55" s="27" t="s">
        <v>307</v>
      </c>
      <c r="H55" s="27" t="s">
        <v>307</v>
      </c>
    </row>
    <row r="56">
      <c r="A56" s="27" t="s">
        <v>323</v>
      </c>
      <c r="B56" s="37">
        <f>AVERAGE(E26:E53)</f>
      </c>
      <c r="C56" s="27" t="s">
        <v>412</v>
      </c>
      <c r="D56" s="27" t="s">
        <v>307</v>
      </c>
      <c r="E56" s="27" t="s">
        <v>307</v>
      </c>
      <c r="F56" s="27" t="s">
        <v>307</v>
      </c>
      <c r="G56" s="27" t="s">
        <v>307</v>
      </c>
      <c r="H56" s="27" t="s">
        <v>307</v>
      </c>
    </row>
    <row r="57">
      <c r="A57" s="27" t="s">
        <v>413</v>
      </c>
      <c r="B57" s="38">
        <f>AVERAGE(G26:G53)</f>
      </c>
      <c r="C57" s="27" t="s">
        <v>412</v>
      </c>
      <c r="D57" s="27" t="s">
        <v>307</v>
      </c>
      <c r="E57" s="27" t="s">
        <v>307</v>
      </c>
      <c r="F57" s="27" t="s">
        <v>307</v>
      </c>
      <c r="G57" s="27" t="s">
        <v>307</v>
      </c>
      <c r="H57" s="27" t="s">
        <v>307</v>
      </c>
    </row>
    <row r="58">
      <c r="A58" s="27" t="s">
        <v>414</v>
      </c>
      <c r="B58" s="37">
        <f>AVERAGE(D12:D23)</f>
      </c>
      <c r="C58" s="27" t="s">
        <v>415</v>
      </c>
      <c r="D58" s="27" t="s">
        <v>307</v>
      </c>
      <c r="E58" s="27" t="s">
        <v>307</v>
      </c>
      <c r="F58" s="27" t="s">
        <v>307</v>
      </c>
      <c r="G58" s="27" t="s">
        <v>307</v>
      </c>
      <c r="H58" s="27" t="s">
        <v>307</v>
      </c>
    </row>
    <row r="59">
      <c r="A59" s="27" t="s">
        <v>416</v>
      </c>
      <c r="B59" s="37">
        <f>MIN(E26:E53)</f>
      </c>
      <c r="C59" s="27" t="s">
        <v>417</v>
      </c>
      <c r="D59" s="27" t="s">
        <v>307</v>
      </c>
      <c r="E59" s="27" t="s">
        <v>307</v>
      </c>
      <c r="F59" s="27" t="s">
        <v>307</v>
      </c>
      <c r="G59" s="27" t="s">
        <v>307</v>
      </c>
      <c r="H59" s="27" t="s">
        <v>307</v>
      </c>
    </row>
    <row r="60">
      <c r="A60" s="27" t="s">
        <v>418</v>
      </c>
      <c r="B60" s="36">
        <f>COUNTIF(E26:E53,"&gt;=0.8")</f>
      </c>
      <c r="C60" s="27" t="s">
        <v>419</v>
      </c>
      <c r="D60" s="27" t="s">
        <v>307</v>
      </c>
      <c r="E60" s="27" t="s">
        <v>307</v>
      </c>
      <c r="F60" s="27" t="s">
        <v>307</v>
      </c>
      <c r="G60" s="27" t="s">
        <v>307</v>
      </c>
      <c r="H60" s="27" t="s">
        <v>307</v>
      </c>
    </row>
  </sheetData>
  <mergeCells>
    <mergeCell ref="A1:H1"/>
    <mergeCell ref="A2:H2"/>
    <mergeCell ref="A3:H3"/>
    <mergeCell ref="A10:H10"/>
    <mergeCell ref="A24:H24"/>
    <mergeCell ref="A54:H54"/>
  </mergeCells>
  <pageMargins bottom="1" footer="0.5" header="0.5" left="0.75" right="0.75" top="1"/>
  <drawing r:id="rId1"/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3" ySplit="2"/>
    </sheetView>
  </sheetViews>
  <sheetFormatPr defaultRowHeight="0"/>
  <cols>
    <col collapsed="false" customWidth="true" hidden="false" max="1" min="1" style="0" width="46.70422535211268"/>
    <col collapsed="false" customWidth="true" hidden="false" max="3" min="3" style="0" width="28.225352112676056"/>
    <col collapsed="false" customWidth="true" hidden="false" max="5" min="5" style="0" width="9.295774647887324"/>
    <col collapsed="false" customWidth="true" hidden="false" max="7" min="7" style="0" width="13.80281690140845"/>
    <col collapsed="false" customWidth="true" hidden="false" max="2" min="2" style="0" width="27.323943661971832"/>
    <col collapsed="false" customWidth="true" hidden="false" max="4" min="4" style="0" width="8.394366197183098"/>
    <col collapsed="false" customWidth="true" hidden="false" max="6" min="6" style="0" width="9.295774647887324"/>
    <col collapsed="false" customWidth="true" hidden="false" max="8" min="8" style="0" width="8.394366197183098"/>
  </cols>
  <sheetData>
    <row customHeight="true" ht="21.42857142857143" r="1">
      <c r="A1" s="42" t="s">
        <v>420</v>
      </c>
      <c r="B1" s="42"/>
      <c r="C1" s="42"/>
      <c r="D1" s="42"/>
      <c r="E1" s="42"/>
      <c r="F1" s="42"/>
      <c r="G1" s="42"/>
      <c r="H1" s="42"/>
    </row>
    <row customHeight="true" ht="13.095238095238095" r="2">
      <c r="A2" s="43" t="s">
        <v>421</v>
      </c>
      <c r="B2" s="43"/>
      <c r="C2" s="43"/>
      <c r="D2" s="43"/>
      <c r="E2" s="43"/>
      <c r="F2" s="43"/>
      <c r="G2" s="43"/>
      <c r="H2" s="43"/>
    </row>
    <row customHeight="true" ht="15.476190476190476" r="3">
      <c r="A3" s="44" t="s">
        <v>422</v>
      </c>
      <c r="B3" s="44"/>
      <c r="C3" s="44"/>
      <c r="D3" s="44"/>
      <c r="E3" s="44"/>
      <c r="F3" s="44"/>
      <c r="G3" s="44"/>
      <c r="H3" s="44"/>
    </row>
    <row customHeight="true" ht="16.666666666666668" r="4">
      <c r="A4" s="45" t="s">
        <v>423</v>
      </c>
      <c r="B4" s="45" t="s">
        <v>424</v>
      </c>
      <c r="C4" s="45" t="s">
        <v>425</v>
      </c>
      <c r="D4" s="46" t="s">
        <v>426</v>
      </c>
      <c r="E4" s="46" t="s">
        <v>426</v>
      </c>
      <c r="F4" s="46" t="s">
        <v>426</v>
      </c>
      <c r="G4" s="46" t="s">
        <v>426</v>
      </c>
      <c r="H4" s="46" t="s">
        <v>426</v>
      </c>
    </row>
    <row r="5">
      <c r="A5" s="47" t="s">
        <v>427</v>
      </c>
      <c r="B5" s="48" t="s">
        <v>428</v>
      </c>
      <c r="C5" s="48" t="s">
        <v>429</v>
      </c>
      <c r="D5" s="46" t="s">
        <v>426</v>
      </c>
      <c r="E5" s="46" t="s">
        <v>426</v>
      </c>
      <c r="F5" s="46" t="s">
        <v>426</v>
      </c>
      <c r="G5" s="46" t="s">
        <v>426</v>
      </c>
      <c r="H5" s="46" t="s">
        <v>426</v>
      </c>
    </row>
    <row r="6">
      <c r="A6" s="47" t="s">
        <v>430</v>
      </c>
      <c r="B6" s="47" t="s">
        <v>431</v>
      </c>
      <c r="C6" s="47" t="s">
        <v>432</v>
      </c>
      <c r="D6" s="46" t="s">
        <v>426</v>
      </c>
      <c r="E6" s="46" t="s">
        <v>426</v>
      </c>
      <c r="F6" s="46" t="s">
        <v>426</v>
      </c>
      <c r="G6" s="46" t="s">
        <v>426</v>
      </c>
      <c r="H6" s="46" t="s">
        <v>426</v>
      </c>
    </row>
    <row r="7">
      <c r="A7" s="47" t="s">
        <v>433</v>
      </c>
      <c r="B7" s="48" t="s">
        <v>434</v>
      </c>
      <c r="C7" s="48" t="s">
        <v>435</v>
      </c>
      <c r="D7" s="46" t="s">
        <v>426</v>
      </c>
      <c r="E7" s="46" t="s">
        <v>426</v>
      </c>
      <c r="F7" s="46" t="s">
        <v>426</v>
      </c>
      <c r="G7" s="46" t="s">
        <v>426</v>
      </c>
      <c r="H7" s="46" t="s">
        <v>426</v>
      </c>
    </row>
    <row r="8">
      <c r="A8" s="47" t="s">
        <v>436</v>
      </c>
      <c r="B8" s="48" t="s">
        <v>437</v>
      </c>
      <c r="C8" s="48" t="s">
        <v>438</v>
      </c>
      <c r="D8" s="46" t="s">
        <v>426</v>
      </c>
      <c r="E8" s="46" t="s">
        <v>426</v>
      </c>
      <c r="F8" s="46" t="s">
        <v>426</v>
      </c>
      <c r="G8" s="46" t="s">
        <v>426</v>
      </c>
      <c r="H8" s="46" t="s">
        <v>426</v>
      </c>
    </row>
    <row customHeight="true" ht="15.476190476190476" r="9">
      <c r="A9" s="49" t="s">
        <v>439</v>
      </c>
      <c r="B9" s="49"/>
      <c r="C9" s="49"/>
      <c r="D9" s="49"/>
      <c r="E9" s="49"/>
      <c r="F9" s="49"/>
      <c r="G9" s="49"/>
      <c r="H9" s="49"/>
    </row>
    <row customHeight="true" ht="16.666666666666668" r="10">
      <c r="A10" s="45" t="s">
        <v>440</v>
      </c>
      <c r="B10" s="50" t="s">
        <v>441</v>
      </c>
      <c r="C10" s="50" t="s">
        <v>442</v>
      </c>
      <c r="D10" s="50" t="s">
        <v>443</v>
      </c>
      <c r="E10" s="50" t="s">
        <v>444</v>
      </c>
      <c r="F10" s="50" t="s">
        <v>445</v>
      </c>
      <c r="G10" s="50" t="s">
        <v>446</v>
      </c>
      <c r="H10" s="50" t="s">
        <v>447</v>
      </c>
    </row>
    <row customHeight="true" ht="22" r="11">
      <c r="A11" s="45" t="s">
        <v>448</v>
      </c>
      <c r="B11" s="51">
        <v>1</v>
      </c>
      <c r="C11" s="51">
        <v>96</v>
      </c>
      <c r="D11" s="51">
        <v>96</v>
      </c>
      <c r="E11" s="51">
        <v>100</v>
      </c>
      <c r="F11" s="51">
        <v>90</v>
      </c>
      <c r="G11" s="52">
        <v>1.12</v>
      </c>
      <c r="H11" s="53" t="s">
        <v>449</v>
      </c>
    </row>
    <row r="12">
      <c r="A12" s="47" t="s">
        <v>448</v>
      </c>
      <c r="B12" s="54">
        <v>2</v>
      </c>
      <c r="C12" s="54">
        <v>320</v>
      </c>
      <c r="D12" s="54">
        <v>96</v>
      </c>
      <c r="E12" s="54">
        <v>255</v>
      </c>
      <c r="F12" s="54">
        <v>90</v>
      </c>
      <c r="G12" s="55">
        <v>0.94</v>
      </c>
      <c r="H12" s="53" t="s">
        <v>449</v>
      </c>
    </row>
    <row r="13">
      <c r="A13" s="47" t="s">
        <v>448</v>
      </c>
      <c r="B13" s="54">
        <v>3</v>
      </c>
      <c r="C13" s="54">
        <v>544</v>
      </c>
      <c r="D13" s="54">
        <v>96</v>
      </c>
      <c r="E13" s="54">
        <v>410</v>
      </c>
      <c r="F13" s="54">
        <v>90</v>
      </c>
      <c r="G13" s="55">
        <v>1.21</v>
      </c>
      <c r="H13" s="53" t="s">
        <v>449</v>
      </c>
    </row>
    <row r="14">
      <c r="A14" s="47" t="s">
        <v>448</v>
      </c>
      <c r="B14" s="54">
        <v>4</v>
      </c>
      <c r="C14" s="54">
        <v>96</v>
      </c>
      <c r="D14" s="54">
        <v>240</v>
      </c>
      <c r="E14" s="54">
        <v>100</v>
      </c>
      <c r="F14" s="54">
        <v>210</v>
      </c>
      <c r="G14" s="55">
        <v>1.08</v>
      </c>
      <c r="H14" s="53" t="s">
        <v>449</v>
      </c>
    </row>
    <row r="15">
      <c r="A15" s="47" t="s">
        <v>448</v>
      </c>
      <c r="B15" s="54">
        <v>5</v>
      </c>
      <c r="C15" s="54">
        <v>320</v>
      </c>
      <c r="D15" s="54">
        <v>240</v>
      </c>
      <c r="E15" s="54">
        <v>255</v>
      </c>
      <c r="F15" s="54">
        <v>210</v>
      </c>
      <c r="G15" s="55">
        <v>0.86</v>
      </c>
      <c r="H15" s="53" t="s">
        <v>449</v>
      </c>
    </row>
    <row r="16">
      <c r="A16" s="47" t="s">
        <v>448</v>
      </c>
      <c r="B16" s="54">
        <v>6</v>
      </c>
      <c r="C16" s="54">
        <v>544</v>
      </c>
      <c r="D16" s="54">
        <v>240</v>
      </c>
      <c r="E16" s="54">
        <v>410</v>
      </c>
      <c r="F16" s="54">
        <v>210</v>
      </c>
      <c r="G16" s="55">
        <v>1.14</v>
      </c>
      <c r="H16" s="53" t="s">
        <v>449</v>
      </c>
    </row>
    <row r="17">
      <c r="A17" s="47" t="s">
        <v>448</v>
      </c>
      <c r="B17" s="54">
        <v>7</v>
      </c>
      <c r="C17" s="54">
        <v>96</v>
      </c>
      <c r="D17" s="54">
        <v>384</v>
      </c>
      <c r="E17" s="54">
        <v>100</v>
      </c>
      <c r="F17" s="54">
        <v>330</v>
      </c>
      <c r="G17" s="55">
        <v>1.27</v>
      </c>
      <c r="H17" s="53" t="s">
        <v>449</v>
      </c>
    </row>
    <row r="18">
      <c r="A18" s="47" t="s">
        <v>448</v>
      </c>
      <c r="B18" s="54">
        <v>8</v>
      </c>
      <c r="C18" s="54">
        <v>320</v>
      </c>
      <c r="D18" s="54">
        <v>384</v>
      </c>
      <c r="E18" s="54">
        <v>255</v>
      </c>
      <c r="F18" s="54">
        <v>330</v>
      </c>
      <c r="G18" s="55">
        <v>1.15</v>
      </c>
      <c r="H18" s="53" t="s">
        <v>449</v>
      </c>
    </row>
    <row r="19">
      <c r="A19" s="47" t="s">
        <v>448</v>
      </c>
      <c r="B19" s="54">
        <v>9</v>
      </c>
      <c r="C19" s="54">
        <v>544</v>
      </c>
      <c r="D19" s="54">
        <v>384</v>
      </c>
      <c r="E19" s="54">
        <v>410</v>
      </c>
      <c r="F19" s="54">
        <v>330</v>
      </c>
      <c r="G19" s="55">
        <v>1.32</v>
      </c>
      <c r="H19" s="53" t="s">
        <v>449</v>
      </c>
    </row>
    <row r="20">
      <c r="A20" s="47" t="s">
        <v>450</v>
      </c>
      <c r="B20" s="54">
        <v>1</v>
      </c>
      <c r="C20" s="54">
        <v>96</v>
      </c>
      <c r="D20" s="54">
        <v>96</v>
      </c>
      <c r="E20" s="54">
        <v>100</v>
      </c>
      <c r="F20" s="54">
        <v>90</v>
      </c>
      <c r="G20" s="55">
        <v>1.21</v>
      </c>
      <c r="H20" s="53" t="s">
        <v>449</v>
      </c>
    </row>
    <row r="21">
      <c r="A21" s="46" t="s">
        <v>450</v>
      </c>
      <c r="B21" s="56">
        <v>2</v>
      </c>
      <c r="C21" s="56">
        <v>320</v>
      </c>
      <c r="D21" s="56">
        <v>96</v>
      </c>
      <c r="E21" s="56">
        <v>255</v>
      </c>
      <c r="F21" s="56">
        <v>90</v>
      </c>
      <c r="G21" s="57">
        <v>1.05</v>
      </c>
      <c r="H21" s="53" t="s">
        <v>449</v>
      </c>
    </row>
    <row customHeight="true" ht="20" r="22">
      <c r="A22" s="44" t="s">
        <v>450</v>
      </c>
      <c r="B22" s="56">
        <v>3</v>
      </c>
      <c r="C22" s="56">
        <v>544</v>
      </c>
      <c r="D22" s="56">
        <v>96</v>
      </c>
      <c r="E22" s="56">
        <v>410</v>
      </c>
      <c r="F22" s="56">
        <v>90</v>
      </c>
      <c r="G22" s="57">
        <v>1.38</v>
      </c>
      <c r="H22" s="53" t="s">
        <v>449</v>
      </c>
    </row>
    <row customHeight="true" ht="22" r="23">
      <c r="A23" s="45" t="s">
        <v>450</v>
      </c>
      <c r="B23" s="51">
        <v>4</v>
      </c>
      <c r="C23" s="51">
        <v>96</v>
      </c>
      <c r="D23" s="56">
        <v>240</v>
      </c>
      <c r="E23" s="56">
        <v>100</v>
      </c>
      <c r="F23" s="56">
        <v>210</v>
      </c>
      <c r="G23" s="57">
        <v>1.18</v>
      </c>
      <c r="H23" s="53" t="s">
        <v>449</v>
      </c>
    </row>
    <row r="24">
      <c r="A24" s="48" t="s">
        <v>450</v>
      </c>
      <c r="B24" s="58">
        <v>5</v>
      </c>
      <c r="C24" s="54">
        <v>320</v>
      </c>
      <c r="D24" s="56">
        <v>240</v>
      </c>
      <c r="E24" s="56">
        <v>255</v>
      </c>
      <c r="F24" s="56">
        <v>210</v>
      </c>
      <c r="G24" s="57">
        <v>0.98</v>
      </c>
      <c r="H24" s="53" t="s">
        <v>449</v>
      </c>
    </row>
    <row r="25">
      <c r="A25" s="48" t="s">
        <v>450</v>
      </c>
      <c r="B25" s="58">
        <v>6</v>
      </c>
      <c r="C25" s="58">
        <v>544</v>
      </c>
      <c r="D25" s="56">
        <v>240</v>
      </c>
      <c r="E25" s="56">
        <v>410</v>
      </c>
      <c r="F25" s="56">
        <v>210</v>
      </c>
      <c r="G25" s="57">
        <v>1.26</v>
      </c>
      <c r="H25" s="53" t="s">
        <v>449</v>
      </c>
    </row>
    <row r="26">
      <c r="A26" s="47" t="s">
        <v>450</v>
      </c>
      <c r="B26" s="58">
        <v>7</v>
      </c>
      <c r="C26" s="58">
        <v>96</v>
      </c>
      <c r="D26" s="56">
        <v>384</v>
      </c>
      <c r="E26" s="56">
        <v>100</v>
      </c>
      <c r="F26" s="56">
        <v>330</v>
      </c>
      <c r="G26" s="57">
        <v>1.44</v>
      </c>
      <c r="H26" s="53" t="s">
        <v>449</v>
      </c>
    </row>
    <row r="27">
      <c r="A27" s="46" t="s">
        <v>450</v>
      </c>
      <c r="B27" s="56">
        <v>8</v>
      </c>
      <c r="C27" s="56">
        <v>320</v>
      </c>
      <c r="D27" s="56">
        <v>384</v>
      </c>
      <c r="E27" s="56">
        <v>255</v>
      </c>
      <c r="F27" s="56">
        <v>330</v>
      </c>
      <c r="G27" s="57">
        <v>1.31</v>
      </c>
      <c r="H27" s="53" t="s">
        <v>449</v>
      </c>
    </row>
    <row r="28">
      <c r="A28" s="46" t="s">
        <v>450</v>
      </c>
      <c r="B28" s="56">
        <v>9</v>
      </c>
      <c r="C28" s="56">
        <v>544</v>
      </c>
      <c r="D28" s="56">
        <v>384</v>
      </c>
      <c r="E28" s="56">
        <v>410</v>
      </c>
      <c r="F28" s="56">
        <v>330</v>
      </c>
      <c r="G28" s="57">
        <v>1.48</v>
      </c>
      <c r="H28" s="53" t="s">
        <v>449</v>
      </c>
    </row>
    <row r="29">
      <c r="A29" s="46" t="s">
        <v>451</v>
      </c>
      <c r="B29" s="56">
        <v>1</v>
      </c>
      <c r="C29" s="56">
        <v>96</v>
      </c>
      <c r="D29" s="56">
        <v>96</v>
      </c>
      <c r="E29" s="56">
        <v>100</v>
      </c>
      <c r="F29" s="56">
        <v>90</v>
      </c>
      <c r="G29" s="57">
        <v>1.35</v>
      </c>
      <c r="H29" s="53" t="s">
        <v>449</v>
      </c>
    </row>
    <row r="30">
      <c r="A30" s="46" t="s">
        <v>451</v>
      </c>
      <c r="B30" s="56">
        <v>2</v>
      </c>
      <c r="C30" s="56">
        <v>320</v>
      </c>
      <c r="D30" s="56">
        <v>96</v>
      </c>
      <c r="E30" s="56">
        <v>255</v>
      </c>
      <c r="F30" s="56">
        <v>90</v>
      </c>
      <c r="G30" s="57">
        <v>1.19</v>
      </c>
      <c r="H30" s="53" t="s">
        <v>449</v>
      </c>
    </row>
    <row r="31">
      <c r="A31" s="46" t="s">
        <v>451</v>
      </c>
      <c r="B31" s="56">
        <v>3</v>
      </c>
      <c r="C31" s="56">
        <v>544</v>
      </c>
      <c r="D31" s="56">
        <v>96</v>
      </c>
      <c r="E31" s="56">
        <v>410</v>
      </c>
      <c r="F31" s="56">
        <v>90</v>
      </c>
      <c r="G31" s="57">
        <v>1.51</v>
      </c>
      <c r="H31" s="53" t="s">
        <v>449</v>
      </c>
    </row>
    <row r="32">
      <c r="A32" s="46" t="s">
        <v>451</v>
      </c>
      <c r="B32" s="56">
        <v>4</v>
      </c>
      <c r="C32" s="56">
        <v>96</v>
      </c>
      <c r="D32" s="56">
        <v>240</v>
      </c>
      <c r="E32" s="56">
        <v>100</v>
      </c>
      <c r="F32" s="56">
        <v>210</v>
      </c>
      <c r="G32" s="57">
        <v>1.42</v>
      </c>
      <c r="H32" s="53" t="s">
        <v>449</v>
      </c>
    </row>
    <row r="33">
      <c r="A33" s="46" t="s">
        <v>451</v>
      </c>
      <c r="B33" s="56">
        <v>5</v>
      </c>
      <c r="C33" s="56">
        <v>320</v>
      </c>
      <c r="D33" s="56">
        <v>240</v>
      </c>
      <c r="E33" s="56">
        <v>255</v>
      </c>
      <c r="F33" s="56">
        <v>210</v>
      </c>
      <c r="G33" s="57">
        <v>1.26</v>
      </c>
      <c r="H33" s="53" t="s">
        <v>449</v>
      </c>
    </row>
    <row r="34">
      <c r="A34" s="46" t="s">
        <v>451</v>
      </c>
      <c r="B34" s="56">
        <v>6</v>
      </c>
      <c r="C34" s="56">
        <v>544</v>
      </c>
      <c r="D34" s="56">
        <v>240</v>
      </c>
      <c r="E34" s="56">
        <v>410</v>
      </c>
      <c r="F34" s="56">
        <v>210</v>
      </c>
      <c r="G34" s="57">
        <v>1.55</v>
      </c>
      <c r="H34" s="59" t="s">
        <v>452</v>
      </c>
    </row>
    <row r="35">
      <c r="A35" s="46" t="s">
        <v>451</v>
      </c>
      <c r="B35" s="56">
        <v>7</v>
      </c>
      <c r="C35" s="56">
        <v>96</v>
      </c>
      <c r="D35" s="56">
        <v>384</v>
      </c>
      <c r="E35" s="56">
        <v>100</v>
      </c>
      <c r="F35" s="56">
        <v>330</v>
      </c>
      <c r="G35" s="57">
        <v>1.62</v>
      </c>
      <c r="H35" s="59" t="s">
        <v>452</v>
      </c>
    </row>
    <row r="36">
      <c r="A36" s="46" t="s">
        <v>451</v>
      </c>
      <c r="B36" s="56">
        <v>8</v>
      </c>
      <c r="C36" s="56">
        <v>320</v>
      </c>
      <c r="D36" s="56">
        <v>384</v>
      </c>
      <c r="E36" s="56">
        <v>255</v>
      </c>
      <c r="F36" s="56">
        <v>330</v>
      </c>
      <c r="G36" s="57">
        <v>1.47</v>
      </c>
      <c r="H36" s="53" t="s">
        <v>449</v>
      </c>
    </row>
    <row r="37">
      <c r="A37" s="46" t="s">
        <v>451</v>
      </c>
      <c r="B37" s="56">
        <v>9</v>
      </c>
      <c r="C37" s="56">
        <v>544</v>
      </c>
      <c r="D37" s="56">
        <v>384</v>
      </c>
      <c r="E37" s="56">
        <v>410</v>
      </c>
      <c r="F37" s="56">
        <v>330</v>
      </c>
      <c r="G37" s="57">
        <v>1.53</v>
      </c>
      <c r="H37" s="59" t="s">
        <v>452</v>
      </c>
    </row>
    <row customHeight="true" ht="15.476190476190476" r="38">
      <c r="A38" s="49" t="s">
        <v>453</v>
      </c>
      <c r="B38" s="49"/>
      <c r="C38" s="49"/>
      <c r="D38" s="49"/>
      <c r="E38" s="49"/>
      <c r="F38" s="49"/>
      <c r="G38" s="49"/>
      <c r="H38" s="49"/>
    </row>
    <row customHeight="true" ht="16.666666666666668" r="39">
      <c r="A39" s="50" t="s">
        <v>454</v>
      </c>
      <c r="B39" s="50" t="s">
        <v>455</v>
      </c>
      <c r="C39" s="50" t="s">
        <v>456</v>
      </c>
      <c r="D39" s="46" t="s">
        <v>426</v>
      </c>
      <c r="E39" s="46" t="s">
        <v>426</v>
      </c>
      <c r="F39" s="46" t="s">
        <v>426</v>
      </c>
      <c r="G39" s="46" t="s">
        <v>426</v>
      </c>
      <c r="H39" s="46" t="s">
        <v>426</v>
      </c>
    </row>
    <row r="40">
      <c r="A40" s="46" t="s">
        <v>457</v>
      </c>
      <c r="B40" s="57">
        <f>AVERAGE(G11:G19)</f>
      </c>
      <c r="C40" s="46" t="s">
        <v>458</v>
      </c>
      <c r="D40" s="46" t="s">
        <v>426</v>
      </c>
      <c r="E40" s="46" t="s">
        <v>426</v>
      </c>
      <c r="F40" s="46" t="s">
        <v>426</v>
      </c>
      <c r="G40" s="46" t="s">
        <v>426</v>
      </c>
      <c r="H40" s="46" t="s">
        <v>426</v>
      </c>
    </row>
    <row r="41">
      <c r="A41" s="46" t="s">
        <v>459</v>
      </c>
      <c r="B41" s="57">
        <f>AVERAGE(G20:G28)</f>
      </c>
      <c r="C41" s="46" t="s">
        <v>460</v>
      </c>
      <c r="D41" s="46" t="s">
        <v>426</v>
      </c>
      <c r="E41" s="46" t="s">
        <v>426</v>
      </c>
      <c r="F41" s="46" t="s">
        <v>426</v>
      </c>
      <c r="G41" s="46" t="s">
        <v>426</v>
      </c>
      <c r="H41" s="46" t="s">
        <v>426</v>
      </c>
    </row>
    <row r="42">
      <c r="A42" s="46" t="s">
        <v>461</v>
      </c>
      <c r="B42" s="57">
        <f>AVERAGE(G29:G37)</f>
      </c>
      <c r="C42" s="46" t="s">
        <v>462</v>
      </c>
      <c r="D42" s="46" t="s">
        <v>426</v>
      </c>
      <c r="E42" s="46" t="s">
        <v>426</v>
      </c>
      <c r="F42" s="46" t="s">
        <v>426</v>
      </c>
      <c r="G42" s="46" t="s">
        <v>426</v>
      </c>
      <c r="H42" s="46" t="s">
        <v>426</v>
      </c>
    </row>
    <row r="43">
      <c r="A43" s="46" t="s">
        <v>463</v>
      </c>
      <c r="B43" s="57">
        <f>AVERAGE(G11:G37)</f>
      </c>
      <c r="C43" s="46" t="s">
        <v>464</v>
      </c>
      <c r="D43" s="46" t="s">
        <v>426</v>
      </c>
      <c r="E43" s="46" t="s">
        <v>426</v>
      </c>
      <c r="F43" s="46" t="s">
        <v>426</v>
      </c>
      <c r="G43" s="46" t="s">
        <v>426</v>
      </c>
      <c r="H43" s="46" t="s">
        <v>426</v>
      </c>
    </row>
    <row r="44">
      <c r="A44" s="46" t="s">
        <v>465</v>
      </c>
      <c r="B44" s="57">
        <f>MAX(G11:G37)</f>
      </c>
      <c r="C44" s="46" t="s">
        <v>466</v>
      </c>
      <c r="D44" s="46" t="s">
        <v>426</v>
      </c>
      <c r="E44" s="46" t="s">
        <v>426</v>
      </c>
      <c r="F44" s="46" t="s">
        <v>426</v>
      </c>
      <c r="G44" s="46" t="s">
        <v>426</v>
      </c>
      <c r="H44" s="46" t="s">
        <v>426</v>
      </c>
    </row>
    <row r="45">
      <c r="A45" s="46" t="s">
        <v>467</v>
      </c>
      <c r="B45" s="56">
        <f>COUNTIF(H11:H37,"OK")</f>
      </c>
      <c r="C45" s="46" t="s">
        <v>468</v>
      </c>
      <c r="D45" s="46" t="s">
        <v>426</v>
      </c>
      <c r="E45" s="46" t="s">
        <v>426</v>
      </c>
      <c r="F45" s="46" t="s">
        <v>426</v>
      </c>
      <c r="G45" s="46" t="s">
        <v>426</v>
      </c>
      <c r="H45" s="46" t="s">
        <v>426</v>
      </c>
    </row>
    <row r="46">
      <c r="A46" s="46" t="s">
        <v>469</v>
      </c>
      <c r="B46" s="60">
        <f>COUNTIF(H11:H37,"OK")/COUNTA(H11:H37)</f>
      </c>
      <c r="C46" s="46" t="s">
        <v>470</v>
      </c>
      <c r="D46" s="46" t="s">
        <v>426</v>
      </c>
      <c r="E46" s="46" t="s">
        <v>426</v>
      </c>
      <c r="F46" s="46" t="s">
        <v>426</v>
      </c>
      <c r="G46" s="46" t="s">
        <v>426</v>
      </c>
      <c r="H46" s="46" t="s">
        <v>426</v>
      </c>
    </row>
  </sheetData>
  <mergeCells>
    <mergeCell ref="A1:H1"/>
    <mergeCell ref="A2:H2"/>
    <mergeCell ref="A3:H3"/>
    <mergeCell ref="A9:H9"/>
    <mergeCell ref="A38:H38"/>
  </mergeCells>
  <pageMargins bottom="1" footer="0.5" header="0.5" left="0.75" right="0.75" top="1"/>
  <drawing r:id="rId1"/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3" ySplit="2"/>
    </sheetView>
  </sheetViews>
  <sheetFormatPr defaultRowHeight="0"/>
  <cols>
    <col collapsed="false" customWidth="true" hidden="false" max="2" min="2" style="0" width="14.704225352112676"/>
    <col collapsed="false" customWidth="true" hidden="false" max="4" min="4" style="0" width="26.422535211267604"/>
    <col collapsed="false" customWidth="true" hidden="false" max="6" min="6" style="0" width="37.23943661971831"/>
    <col collapsed="false" customWidth="true" hidden="false" max="8" min="8" style="0" width="8.394366197183098"/>
    <col collapsed="false" customWidth="true" hidden="false" max="1" min="1" style="0" width="46.70422535211268"/>
    <col collapsed="false" customWidth="true" hidden="false" max="3" min="3" style="0" width="40.84507042253521"/>
    <col collapsed="false" customWidth="true" hidden="false" max="5" min="5" style="0" width="8.394366197183098"/>
    <col collapsed="false" customWidth="true" hidden="false" max="7" min="7" style="0" width="8.394366197183098"/>
  </cols>
  <sheetData>
    <row customHeight="true" ht="21.42857142857143" r="1">
      <c r="A1" s="61" t="s">
        <v>471</v>
      </c>
      <c r="B1" s="61"/>
      <c r="C1" s="61"/>
      <c r="D1" s="61"/>
      <c r="E1" s="61"/>
      <c r="F1" s="61"/>
      <c r="G1" s="61"/>
      <c r="H1" s="61"/>
    </row>
    <row customHeight="true" ht="13.095238095238095" r="2">
      <c r="A2" s="62" t="s">
        <v>472</v>
      </c>
      <c r="B2" s="62"/>
      <c r="C2" s="62"/>
      <c r="D2" s="62"/>
      <c r="E2" s="62"/>
      <c r="F2" s="62"/>
      <c r="G2" s="62"/>
      <c r="H2" s="62"/>
    </row>
    <row customHeight="true" ht="15.476190476190476" r="3">
      <c r="A3" s="63" t="s">
        <v>473</v>
      </c>
      <c r="B3" s="63"/>
      <c r="C3" s="63"/>
      <c r="D3" s="63"/>
      <c r="E3" s="63"/>
      <c r="F3" s="63"/>
      <c r="G3" s="63"/>
      <c r="H3" s="63"/>
    </row>
    <row customHeight="true" ht="16.666666666666668" r="4">
      <c r="A4" s="64" t="s">
        <v>474</v>
      </c>
      <c r="B4" s="64" t="s">
        <v>475</v>
      </c>
      <c r="C4" s="64" t="s">
        <v>476</v>
      </c>
      <c r="D4" s="65" t="s">
        <v>477</v>
      </c>
      <c r="E4" s="65" t="s">
        <v>477</v>
      </c>
      <c r="F4" s="65" t="s">
        <v>477</v>
      </c>
      <c r="G4" s="65" t="s">
        <v>477</v>
      </c>
      <c r="H4" s="65" t="s">
        <v>477</v>
      </c>
    </row>
    <row r="5">
      <c r="A5" s="66" t="s">
        <v>478</v>
      </c>
      <c r="B5" s="66">
        <v>1</v>
      </c>
      <c r="C5" s="67" t="s">
        <v>479</v>
      </c>
      <c r="D5" s="65" t="s">
        <v>477</v>
      </c>
      <c r="E5" s="65" t="s">
        <v>477</v>
      </c>
      <c r="F5" s="65" t="s">
        <v>477</v>
      </c>
      <c r="G5" s="65" t="s">
        <v>477</v>
      </c>
      <c r="H5" s="65" t="s">
        <v>477</v>
      </c>
    </row>
    <row r="6">
      <c r="A6" s="66" t="s">
        <v>480</v>
      </c>
      <c r="B6" s="66">
        <v>1</v>
      </c>
      <c r="C6" s="67" t="s">
        <v>481</v>
      </c>
      <c r="D6" s="65" t="s">
        <v>477</v>
      </c>
      <c r="E6" s="65" t="s">
        <v>477</v>
      </c>
      <c r="F6" s="65" t="s">
        <v>477</v>
      </c>
      <c r="G6" s="65" t="s">
        <v>477</v>
      </c>
      <c r="H6" s="65" t="s">
        <v>477</v>
      </c>
    </row>
    <row r="7">
      <c r="A7" s="66" t="s">
        <v>482</v>
      </c>
      <c r="B7" s="66">
        <v>1</v>
      </c>
      <c r="C7" s="66" t="s">
        <v>483</v>
      </c>
      <c r="D7" s="65" t="s">
        <v>477</v>
      </c>
      <c r="E7" s="65" t="s">
        <v>477</v>
      </c>
      <c r="F7" s="65" t="s">
        <v>477</v>
      </c>
      <c r="G7" s="65" t="s">
        <v>477</v>
      </c>
      <c r="H7" s="65" t="s">
        <v>477</v>
      </c>
    </row>
    <row r="8">
      <c r="A8" s="66" t="s">
        <v>484</v>
      </c>
      <c r="B8" s="66">
        <v>1</v>
      </c>
      <c r="C8" s="67" t="s">
        <v>485</v>
      </c>
      <c r="D8" s="65" t="s">
        <v>477</v>
      </c>
      <c r="E8" s="65" t="s">
        <v>477</v>
      </c>
      <c r="F8" s="65" t="s">
        <v>477</v>
      </c>
      <c r="G8" s="65" t="s">
        <v>477</v>
      </c>
      <c r="H8" s="65" t="s">
        <v>477</v>
      </c>
    </row>
    <row r="9">
      <c r="A9" s="66" t="s">
        <v>486</v>
      </c>
      <c r="B9" s="66" t="s">
        <v>487</v>
      </c>
      <c r="C9" s="67" t="s">
        <v>488</v>
      </c>
      <c r="D9" s="65" t="s">
        <v>477</v>
      </c>
      <c r="E9" s="65" t="s">
        <v>477</v>
      </c>
      <c r="F9" s="65" t="s">
        <v>477</v>
      </c>
      <c r="G9" s="65" t="s">
        <v>477</v>
      </c>
      <c r="H9" s="65" t="s">
        <v>477</v>
      </c>
    </row>
    <row r="10">
      <c r="A10" s="66" t="s">
        <v>489</v>
      </c>
      <c r="B10" s="66">
        <v>2</v>
      </c>
      <c r="C10" s="67" t="s">
        <v>490</v>
      </c>
      <c r="D10" s="65" t="s">
        <v>477</v>
      </c>
      <c r="E10" s="65" t="s">
        <v>477</v>
      </c>
      <c r="F10" s="65" t="s">
        <v>477</v>
      </c>
      <c r="G10" s="65" t="s">
        <v>477</v>
      </c>
      <c r="H10" s="65" t="s">
        <v>477</v>
      </c>
    </row>
    <row r="11">
      <c r="A11" s="66" t="s">
        <v>491</v>
      </c>
      <c r="B11" s="66">
        <v>1</v>
      </c>
      <c r="C11" s="67" t="s">
        <v>492</v>
      </c>
      <c r="D11" s="65" t="s">
        <v>477</v>
      </c>
      <c r="E11" s="65" t="s">
        <v>477</v>
      </c>
      <c r="F11" s="65" t="s">
        <v>477</v>
      </c>
      <c r="G11" s="65" t="s">
        <v>477</v>
      </c>
      <c r="H11" s="65" t="s">
        <v>477</v>
      </c>
    </row>
    <row customHeight="true" ht="15.476190476190476" r="12">
      <c r="A12" s="68" t="s">
        <v>493</v>
      </c>
      <c r="B12" s="68"/>
      <c r="C12" s="68"/>
      <c r="D12" s="68"/>
      <c r="E12" s="68"/>
      <c r="F12" s="68"/>
      <c r="G12" s="68"/>
      <c r="H12" s="68"/>
    </row>
    <row customHeight="true" ht="16.666666666666668" r="13">
      <c r="A13" s="64" t="s">
        <v>480</v>
      </c>
      <c r="B13" s="69" t="s">
        <v>494</v>
      </c>
      <c r="C13" s="69" t="s">
        <v>495</v>
      </c>
      <c r="D13" s="69" t="s">
        <v>486</v>
      </c>
      <c r="E13" s="69" t="s">
        <v>496</v>
      </c>
      <c r="F13" s="65" t="s">
        <v>477</v>
      </c>
      <c r="G13" s="65" t="s">
        <v>477</v>
      </c>
      <c r="H13" s="65" t="s">
        <v>477</v>
      </c>
    </row>
    <row customHeight="true" ht="22" r="14">
      <c r="A14" s="64" t="s">
        <v>497</v>
      </c>
      <c r="B14" s="64" t="s">
        <v>498</v>
      </c>
      <c r="C14" s="64" t="s">
        <v>499</v>
      </c>
      <c r="D14" s="64" t="s">
        <v>500</v>
      </c>
      <c r="E14" s="64" t="s">
        <v>501</v>
      </c>
      <c r="F14" s="65" t="s">
        <v>477</v>
      </c>
      <c r="G14" s="65" t="s">
        <v>477</v>
      </c>
      <c r="H14" s="65" t="s">
        <v>477</v>
      </c>
    </row>
    <row r="15">
      <c r="A15" s="66" t="s">
        <v>502</v>
      </c>
      <c r="B15" s="67" t="s">
        <v>503</v>
      </c>
      <c r="C15" s="67" t="s">
        <v>504</v>
      </c>
      <c r="D15" s="67" t="s">
        <v>505</v>
      </c>
      <c r="E15" s="66" t="s">
        <v>501</v>
      </c>
      <c r="F15" s="65" t="s">
        <v>477</v>
      </c>
      <c r="G15" s="65" t="s">
        <v>477</v>
      </c>
      <c r="H15" s="65" t="s">
        <v>477</v>
      </c>
    </row>
    <row r="16">
      <c r="A16" s="66" t="s">
        <v>506</v>
      </c>
      <c r="B16" s="67" t="s">
        <v>507</v>
      </c>
      <c r="C16" s="67" t="s">
        <v>508</v>
      </c>
      <c r="D16" s="67" t="s">
        <v>509</v>
      </c>
      <c r="E16" s="66" t="s">
        <v>501</v>
      </c>
      <c r="F16" s="65" t="s">
        <v>477</v>
      </c>
      <c r="G16" s="65" t="s">
        <v>477</v>
      </c>
      <c r="H16" s="65" t="s">
        <v>477</v>
      </c>
    </row>
    <row r="17">
      <c r="A17" s="66" t="s">
        <v>510</v>
      </c>
      <c r="B17" s="67" t="s">
        <v>511</v>
      </c>
      <c r="C17" s="67" t="s">
        <v>512</v>
      </c>
      <c r="D17" s="67" t="s">
        <v>513</v>
      </c>
      <c r="E17" s="66" t="s">
        <v>501</v>
      </c>
      <c r="F17" s="65" t="s">
        <v>477</v>
      </c>
      <c r="G17" s="65" t="s">
        <v>477</v>
      </c>
      <c r="H17" s="65" t="s">
        <v>477</v>
      </c>
    </row>
    <row r="18">
      <c r="A18" s="66" t="s">
        <v>514</v>
      </c>
      <c r="B18" s="66" t="s">
        <v>515</v>
      </c>
      <c r="C18" s="67" t="s">
        <v>516</v>
      </c>
      <c r="D18" s="66" t="s">
        <v>513</v>
      </c>
      <c r="E18" s="66" t="s">
        <v>501</v>
      </c>
      <c r="F18" s="65" t="s">
        <v>477</v>
      </c>
      <c r="G18" s="65" t="s">
        <v>477</v>
      </c>
      <c r="H18" s="65" t="s">
        <v>477</v>
      </c>
    </row>
    <row r="19">
      <c r="A19" s="66" t="s">
        <v>517</v>
      </c>
      <c r="B19" s="67" t="s">
        <v>518</v>
      </c>
      <c r="C19" s="66" t="s">
        <v>519</v>
      </c>
      <c r="D19" s="66" t="s">
        <v>520</v>
      </c>
      <c r="E19" s="66" t="s">
        <v>501</v>
      </c>
      <c r="F19" s="65" t="s">
        <v>477</v>
      </c>
      <c r="G19" s="65" t="s">
        <v>477</v>
      </c>
      <c r="H19" s="65" t="s">
        <v>477</v>
      </c>
    </row>
    <row r="20">
      <c r="A20" s="66" t="s">
        <v>521</v>
      </c>
      <c r="B20" s="67" t="s">
        <v>522</v>
      </c>
      <c r="C20" s="67" t="s">
        <v>523</v>
      </c>
      <c r="D20" s="67" t="s">
        <v>524</v>
      </c>
      <c r="E20" s="66" t="s">
        <v>525</v>
      </c>
      <c r="F20" s="65" t="s">
        <v>477</v>
      </c>
      <c r="G20" s="65" t="s">
        <v>477</v>
      </c>
      <c r="H20" s="65" t="s">
        <v>477</v>
      </c>
    </row>
    <row customHeight="true" ht="15.476190476190476" r="21">
      <c r="A21" s="63" t="s">
        <v>526</v>
      </c>
      <c r="B21" s="63"/>
      <c r="C21" s="63"/>
      <c r="D21" s="63"/>
      <c r="E21" s="63"/>
      <c r="F21" s="63"/>
      <c r="G21" s="63"/>
      <c r="H21" s="63"/>
    </row>
    <row customHeight="true" ht="16.666666666666668" r="22">
      <c r="A22" s="69" t="s">
        <v>527</v>
      </c>
      <c r="B22" s="69" t="s">
        <v>528</v>
      </c>
      <c r="C22" s="69" t="s">
        <v>496</v>
      </c>
      <c r="D22" s="69" t="s">
        <v>529</v>
      </c>
      <c r="E22" s="69" t="s">
        <v>484</v>
      </c>
      <c r="F22" s="69" t="s">
        <v>530</v>
      </c>
      <c r="G22" s="69" t="s">
        <v>531</v>
      </c>
      <c r="H22" s="69" t="s">
        <v>532</v>
      </c>
    </row>
    <row customHeight="true" ht="20" r="23">
      <c r="A23" s="63" t="s">
        <v>533</v>
      </c>
      <c r="B23" s="65" t="s">
        <v>534</v>
      </c>
      <c r="C23" s="65" t="s">
        <v>535</v>
      </c>
      <c r="D23" s="65" t="s">
        <v>536</v>
      </c>
      <c r="E23" s="70">
        <v>1</v>
      </c>
      <c r="F23" s="65" t="s">
        <v>537</v>
      </c>
      <c r="G23" s="65" t="s">
        <v>538</v>
      </c>
      <c r="H23" s="65" t="s">
        <v>539</v>
      </c>
    </row>
    <row customHeight="true" ht="22" r="24">
      <c r="A24" s="64" t="s">
        <v>533</v>
      </c>
      <c r="B24" s="64" t="s">
        <v>540</v>
      </c>
      <c r="C24" s="64" t="s">
        <v>541</v>
      </c>
      <c r="D24" s="64" t="s">
        <v>542</v>
      </c>
      <c r="E24" s="71">
        <v>1</v>
      </c>
      <c r="F24" s="64" t="s">
        <v>543</v>
      </c>
      <c r="G24" s="64" t="s">
        <v>544</v>
      </c>
      <c r="H24" s="72" t="s">
        <v>545</v>
      </c>
    </row>
    <row r="25">
      <c r="A25" s="67" t="s">
        <v>533</v>
      </c>
      <c r="B25" s="66" t="s">
        <v>546</v>
      </c>
      <c r="C25" s="67" t="s">
        <v>535</v>
      </c>
      <c r="D25" s="66" t="s">
        <v>547</v>
      </c>
      <c r="E25" s="73">
        <v>2</v>
      </c>
      <c r="F25" s="66" t="s">
        <v>548</v>
      </c>
      <c r="G25" s="66" t="s">
        <v>549</v>
      </c>
      <c r="H25" s="65" t="s">
        <v>539</v>
      </c>
    </row>
    <row r="26">
      <c r="A26" s="67" t="s">
        <v>533</v>
      </c>
      <c r="B26" s="66" t="s">
        <v>550</v>
      </c>
      <c r="C26" s="66" t="s">
        <v>541</v>
      </c>
      <c r="D26" s="66" t="s">
        <v>542</v>
      </c>
      <c r="E26" s="73">
        <v>2</v>
      </c>
      <c r="F26" s="66" t="s">
        <v>551</v>
      </c>
      <c r="G26" s="66" t="s">
        <v>552</v>
      </c>
      <c r="H26" s="72" t="s">
        <v>545</v>
      </c>
    </row>
    <row r="27">
      <c r="A27" s="67" t="s">
        <v>533</v>
      </c>
      <c r="B27" s="66" t="s">
        <v>553</v>
      </c>
      <c r="C27" s="67" t="s">
        <v>535</v>
      </c>
      <c r="D27" s="66" t="s">
        <v>554</v>
      </c>
      <c r="E27" s="73">
        <v>3</v>
      </c>
      <c r="F27" s="66" t="s">
        <v>555</v>
      </c>
      <c r="G27" s="66" t="s">
        <v>556</v>
      </c>
      <c r="H27" s="65" t="s">
        <v>539</v>
      </c>
    </row>
    <row r="28">
      <c r="A28" s="67" t="s">
        <v>533</v>
      </c>
      <c r="B28" s="66" t="s">
        <v>557</v>
      </c>
      <c r="C28" s="66" t="s">
        <v>541</v>
      </c>
      <c r="D28" s="66" t="s">
        <v>542</v>
      </c>
      <c r="E28" s="74">
        <v>3</v>
      </c>
      <c r="F28" s="66" t="s">
        <v>558</v>
      </c>
      <c r="G28" s="66" t="s">
        <v>559</v>
      </c>
      <c r="H28" s="72" t="s">
        <v>545</v>
      </c>
    </row>
    <row r="29">
      <c r="A29" s="67" t="s">
        <v>533</v>
      </c>
      <c r="B29" s="66" t="s">
        <v>560</v>
      </c>
      <c r="C29" s="66" t="s">
        <v>535</v>
      </c>
      <c r="D29" s="66" t="s">
        <v>536</v>
      </c>
      <c r="E29" s="74">
        <v>4</v>
      </c>
      <c r="F29" s="66" t="s">
        <v>561</v>
      </c>
      <c r="G29" s="66" t="s">
        <v>562</v>
      </c>
      <c r="H29" s="65" t="s">
        <v>539</v>
      </c>
    </row>
    <row r="30">
      <c r="A30" s="67" t="s">
        <v>533</v>
      </c>
      <c r="B30" s="66" t="s">
        <v>563</v>
      </c>
      <c r="C30" s="66" t="s">
        <v>541</v>
      </c>
      <c r="D30" s="66" t="s">
        <v>542</v>
      </c>
      <c r="E30" s="73">
        <v>4</v>
      </c>
      <c r="F30" s="66" t="s">
        <v>564</v>
      </c>
      <c r="G30" s="66" t="s">
        <v>565</v>
      </c>
      <c r="H30" s="72" t="s">
        <v>545</v>
      </c>
    </row>
    <row r="31">
      <c r="A31" s="67" t="s">
        <v>533</v>
      </c>
      <c r="B31" s="66" t="s">
        <v>566</v>
      </c>
      <c r="C31" s="67" t="s">
        <v>535</v>
      </c>
      <c r="D31" s="66" t="s">
        <v>536</v>
      </c>
      <c r="E31" s="73">
        <v>5</v>
      </c>
      <c r="F31" s="66" t="s">
        <v>561</v>
      </c>
      <c r="G31" s="66" t="s">
        <v>567</v>
      </c>
      <c r="H31" s="65" t="s">
        <v>568</v>
      </c>
    </row>
    <row r="32">
      <c r="A32" s="67" t="s">
        <v>533</v>
      </c>
      <c r="B32" s="66" t="s">
        <v>569</v>
      </c>
      <c r="C32" s="66" t="s">
        <v>535</v>
      </c>
      <c r="D32" s="66" t="s">
        <v>536</v>
      </c>
      <c r="E32" s="73">
        <v>5</v>
      </c>
      <c r="F32" s="66" t="s">
        <v>570</v>
      </c>
      <c r="G32" s="66" t="s">
        <v>562</v>
      </c>
      <c r="H32" s="65" t="s">
        <v>539</v>
      </c>
    </row>
    <row r="33">
      <c r="A33" s="67" t="s">
        <v>533</v>
      </c>
      <c r="B33" s="66" t="s">
        <v>571</v>
      </c>
      <c r="C33" s="66" t="s">
        <v>541</v>
      </c>
      <c r="D33" s="66" t="s">
        <v>542</v>
      </c>
      <c r="E33" s="74">
        <v>5</v>
      </c>
      <c r="F33" s="66" t="s">
        <v>564</v>
      </c>
      <c r="G33" s="66" t="s">
        <v>565</v>
      </c>
      <c r="H33" s="72" t="s">
        <v>545</v>
      </c>
    </row>
    <row r="34">
      <c r="A34" s="67" t="s">
        <v>533</v>
      </c>
      <c r="B34" s="66" t="s">
        <v>572</v>
      </c>
      <c r="C34" s="66" t="s">
        <v>541</v>
      </c>
      <c r="D34" s="66" t="s">
        <v>542</v>
      </c>
      <c r="E34" s="73">
        <v>6</v>
      </c>
      <c r="F34" s="66" t="s">
        <v>573</v>
      </c>
      <c r="G34" s="66" t="s">
        <v>574</v>
      </c>
      <c r="H34" s="72" t="s">
        <v>545</v>
      </c>
    </row>
    <row r="35">
      <c r="A35" s="67" t="s">
        <v>575</v>
      </c>
      <c r="B35" s="66" t="s">
        <v>576</v>
      </c>
      <c r="C35" s="67" t="s">
        <v>535</v>
      </c>
      <c r="D35" s="66" t="s">
        <v>536</v>
      </c>
      <c r="E35" s="74">
        <v>7</v>
      </c>
      <c r="F35" s="66" t="s">
        <v>577</v>
      </c>
      <c r="G35" s="66" t="s">
        <v>578</v>
      </c>
      <c r="H35" s="65" t="s">
        <v>539</v>
      </c>
    </row>
    <row r="36">
      <c r="A36" s="67" t="s">
        <v>575</v>
      </c>
      <c r="B36" s="66" t="s">
        <v>579</v>
      </c>
      <c r="C36" s="66" t="s">
        <v>541</v>
      </c>
      <c r="D36" s="66" t="s">
        <v>542</v>
      </c>
      <c r="E36" s="73">
        <v>7</v>
      </c>
      <c r="F36" s="66" t="s">
        <v>551</v>
      </c>
      <c r="G36" s="66" t="s">
        <v>580</v>
      </c>
      <c r="H36" s="72" t="s">
        <v>545</v>
      </c>
    </row>
    <row r="37">
      <c r="A37" s="65" t="s">
        <v>575</v>
      </c>
      <c r="B37" s="65" t="s">
        <v>581</v>
      </c>
      <c r="C37" s="65" t="s">
        <v>535</v>
      </c>
      <c r="D37" s="65" t="s">
        <v>554</v>
      </c>
      <c r="E37" s="70">
        <v>8</v>
      </c>
      <c r="F37" s="65" t="s">
        <v>582</v>
      </c>
      <c r="G37" s="65" t="s">
        <v>583</v>
      </c>
      <c r="H37" s="65" t="s">
        <v>539</v>
      </c>
    </row>
    <row customHeight="true" ht="20" r="38">
      <c r="A38" s="63" t="s">
        <v>575</v>
      </c>
      <c r="B38" s="65" t="s">
        <v>584</v>
      </c>
      <c r="C38" s="65" t="s">
        <v>541</v>
      </c>
      <c r="D38" s="65" t="s">
        <v>542</v>
      </c>
      <c r="E38" s="70">
        <v>8</v>
      </c>
      <c r="F38" s="65" t="s">
        <v>558</v>
      </c>
      <c r="G38" s="65" t="s">
        <v>585</v>
      </c>
      <c r="H38" s="72" t="s">
        <v>545</v>
      </c>
    </row>
    <row customHeight="true" ht="22" r="39">
      <c r="A39" s="64" t="s">
        <v>575</v>
      </c>
      <c r="B39" s="64" t="s">
        <v>586</v>
      </c>
      <c r="C39" s="64" t="s">
        <v>535</v>
      </c>
      <c r="D39" s="65" t="s">
        <v>547</v>
      </c>
      <c r="E39" s="70">
        <v>9</v>
      </c>
      <c r="F39" s="65" t="s">
        <v>587</v>
      </c>
      <c r="G39" s="65" t="s">
        <v>588</v>
      </c>
      <c r="H39" s="65" t="s">
        <v>539</v>
      </c>
    </row>
    <row r="40">
      <c r="A40" s="66" t="s">
        <v>575</v>
      </c>
      <c r="B40" s="73" t="s">
        <v>589</v>
      </c>
      <c r="C40" s="67" t="s">
        <v>541</v>
      </c>
      <c r="D40" s="65" t="s">
        <v>542</v>
      </c>
      <c r="E40" s="70">
        <v>9</v>
      </c>
      <c r="F40" s="65" t="s">
        <v>590</v>
      </c>
      <c r="G40" s="65" t="s">
        <v>591</v>
      </c>
      <c r="H40" s="72" t="s">
        <v>545</v>
      </c>
    </row>
    <row r="41">
      <c r="A41" s="66" t="s">
        <v>575</v>
      </c>
      <c r="B41" s="73" t="s">
        <v>592</v>
      </c>
      <c r="C41" s="67" t="s">
        <v>535</v>
      </c>
      <c r="D41" s="65" t="s">
        <v>536</v>
      </c>
      <c r="E41" s="70">
        <v>10</v>
      </c>
      <c r="F41" s="65" t="s">
        <v>593</v>
      </c>
      <c r="G41" s="65" t="s">
        <v>594</v>
      </c>
      <c r="H41" s="65" t="s">
        <v>539</v>
      </c>
    </row>
    <row r="42">
      <c r="A42" s="66" t="s">
        <v>575</v>
      </c>
      <c r="B42" s="75" t="s">
        <v>595</v>
      </c>
      <c r="C42" s="67" t="s">
        <v>541</v>
      </c>
      <c r="D42" s="65" t="s">
        <v>542</v>
      </c>
      <c r="E42" s="70">
        <v>10</v>
      </c>
      <c r="F42" s="65" t="s">
        <v>596</v>
      </c>
      <c r="G42" s="65" t="s">
        <v>597</v>
      </c>
      <c r="H42" s="72" t="s">
        <v>545</v>
      </c>
    </row>
    <row r="43">
      <c r="A43" s="67" t="s">
        <v>575</v>
      </c>
      <c r="B43" s="76" t="s">
        <v>598</v>
      </c>
      <c r="C43" s="67" t="s">
        <v>535</v>
      </c>
      <c r="D43" s="65" t="s">
        <v>554</v>
      </c>
      <c r="E43" s="70">
        <v>11</v>
      </c>
      <c r="F43" s="65" t="s">
        <v>582</v>
      </c>
      <c r="G43" s="65" t="s">
        <v>583</v>
      </c>
      <c r="H43" s="65" t="s">
        <v>539</v>
      </c>
    </row>
    <row r="44">
      <c r="A44" s="65" t="s">
        <v>575</v>
      </c>
      <c r="B44" s="65" t="s">
        <v>599</v>
      </c>
      <c r="C44" s="65" t="s">
        <v>541</v>
      </c>
      <c r="D44" s="65" t="s">
        <v>542</v>
      </c>
      <c r="E44" s="70">
        <v>11</v>
      </c>
      <c r="F44" s="65" t="s">
        <v>558</v>
      </c>
      <c r="G44" s="65" t="s">
        <v>585</v>
      </c>
      <c r="H44" s="72" t="s">
        <v>545</v>
      </c>
    </row>
    <row r="45">
      <c r="A45" s="65" t="s">
        <v>575</v>
      </c>
      <c r="B45" s="65" t="s">
        <v>600</v>
      </c>
      <c r="C45" s="65" t="s">
        <v>535</v>
      </c>
      <c r="D45" s="65" t="s">
        <v>522</v>
      </c>
      <c r="E45" s="70">
        <v>12</v>
      </c>
      <c r="F45" s="65" t="s">
        <v>601</v>
      </c>
      <c r="G45" s="65" t="s">
        <v>602</v>
      </c>
      <c r="H45" s="65" t="s">
        <v>539</v>
      </c>
    </row>
    <row r="46">
      <c r="A46" s="65" t="s">
        <v>575</v>
      </c>
      <c r="B46" s="65" t="s">
        <v>603</v>
      </c>
      <c r="C46" s="65" t="s">
        <v>541</v>
      </c>
      <c r="D46" s="65" t="s">
        <v>542</v>
      </c>
      <c r="E46" s="70">
        <v>12</v>
      </c>
      <c r="F46" s="65" t="s">
        <v>573</v>
      </c>
      <c r="G46" s="65" t="s">
        <v>574</v>
      </c>
      <c r="H46" s="72" t="s">
        <v>545</v>
      </c>
    </row>
    <row customHeight="true" ht="15.476190476190476" r="47">
      <c r="A47" s="68" t="s">
        <v>604</v>
      </c>
      <c r="B47" s="68"/>
      <c r="C47" s="68"/>
      <c r="D47" s="68"/>
      <c r="E47" s="68"/>
      <c r="F47" s="68"/>
      <c r="G47" s="68"/>
      <c r="H47" s="68"/>
    </row>
    <row customHeight="true" ht="16.666666666666668" r="48">
      <c r="A48" s="69" t="s">
        <v>605</v>
      </c>
      <c r="B48" s="69" t="s">
        <v>606</v>
      </c>
      <c r="C48" s="69" t="s">
        <v>607</v>
      </c>
      <c r="D48" s="65" t="s">
        <v>477</v>
      </c>
      <c r="E48" s="65" t="s">
        <v>477</v>
      </c>
      <c r="F48" s="65" t="s">
        <v>477</v>
      </c>
      <c r="G48" s="65" t="s">
        <v>477</v>
      </c>
      <c r="H48" s="65" t="s">
        <v>477</v>
      </c>
    </row>
    <row r="49">
      <c r="A49" s="65" t="s">
        <v>608</v>
      </c>
      <c r="B49" s="70">
        <f>COUNTIF(C23:C46,"TX")</f>
      </c>
      <c r="C49" s="65" t="s">
        <v>609</v>
      </c>
      <c r="D49" s="65" t="s">
        <v>477</v>
      </c>
      <c r="E49" s="65" t="s">
        <v>477</v>
      </c>
      <c r="F49" s="65" t="s">
        <v>477</v>
      </c>
      <c r="G49" s="65" t="s">
        <v>477</v>
      </c>
      <c r="H49" s="65" t="s">
        <v>477</v>
      </c>
    </row>
    <row r="50">
      <c r="A50" s="65" t="s">
        <v>610</v>
      </c>
      <c r="B50" s="70">
        <f>COUNTIF(C23:C46,"RX")</f>
      </c>
      <c r="C50" s="65" t="s">
        <v>611</v>
      </c>
      <c r="D50" s="65" t="s">
        <v>477</v>
      </c>
      <c r="E50" s="65" t="s">
        <v>477</v>
      </c>
      <c r="F50" s="65" t="s">
        <v>477</v>
      </c>
      <c r="G50" s="65" t="s">
        <v>477</v>
      </c>
      <c r="H50" s="65" t="s">
        <v>477</v>
      </c>
    </row>
    <row r="51">
      <c r="A51" s="65" t="s">
        <v>612</v>
      </c>
      <c r="B51" s="77">
        <f>1-COUNTIF(H23:H46,"CRC-ERR")/COUNTA(H23:H46)</f>
      </c>
      <c r="C51" s="65" t="s">
        <v>613</v>
      </c>
      <c r="D51" s="65" t="s">
        <v>477</v>
      </c>
      <c r="E51" s="65" t="s">
        <v>477</v>
      </c>
      <c r="F51" s="65" t="s">
        <v>477</v>
      </c>
      <c r="G51" s="65" t="s">
        <v>477</v>
      </c>
      <c r="H51" s="65" t="s">
        <v>477</v>
      </c>
    </row>
    <row r="52">
      <c r="A52" s="65" t="s">
        <v>614</v>
      </c>
      <c r="B52" s="70">
        <f>COUNTIF(H23:H46,"CRC-ERR")</f>
      </c>
      <c r="C52" s="65" t="s">
        <v>615</v>
      </c>
      <c r="D52" s="65" t="s">
        <v>477</v>
      </c>
      <c r="E52" s="65" t="s">
        <v>477</v>
      </c>
      <c r="F52" s="65" t="s">
        <v>477</v>
      </c>
      <c r="G52" s="65" t="s">
        <v>477</v>
      </c>
      <c r="H52" s="65" t="s">
        <v>477</v>
      </c>
    </row>
    <row r="53">
      <c r="A53" s="65" t="s">
        <v>616</v>
      </c>
      <c r="B53" s="78">
        <f>31/10000</f>
      </c>
      <c r="C53" s="65" t="s">
        <v>617</v>
      </c>
      <c r="D53" s="65" t="s">
        <v>477</v>
      </c>
      <c r="E53" s="65" t="s">
        <v>477</v>
      </c>
      <c r="F53" s="65" t="s">
        <v>477</v>
      </c>
      <c r="G53" s="65" t="s">
        <v>477</v>
      </c>
      <c r="H53" s="65" t="s">
        <v>477</v>
      </c>
    </row>
    <row r="54">
      <c r="A54" s="65" t="s">
        <v>618</v>
      </c>
      <c r="B54" s="78">
        <f>1-31/10000</f>
      </c>
      <c r="C54" s="65" t="s">
        <v>619</v>
      </c>
      <c r="D54" s="65" t="s">
        <v>477</v>
      </c>
      <c r="E54" s="65" t="s">
        <v>477</v>
      </c>
      <c r="F54" s="65" t="s">
        <v>477</v>
      </c>
      <c r="G54" s="65" t="s">
        <v>477</v>
      </c>
      <c r="H54" s="65" t="s">
        <v>477</v>
      </c>
    </row>
  </sheetData>
  <mergeCells>
    <mergeCell ref="A1:H1"/>
    <mergeCell ref="A2:H2"/>
    <mergeCell ref="A3:H3"/>
    <mergeCell ref="A12:H12"/>
    <mergeCell ref="A21:H21"/>
    <mergeCell ref="A47:H47"/>
  </mergeCells>
  <pageMargins bottom="1" footer="0.5" header="0.5" left="0.75" right="0.75" top="1"/>
  <drawing r:id="rId1"/>
</worksheet>
</file>

<file path=xl/worksheets/sheet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3" ySplit="2"/>
    </sheetView>
  </sheetViews>
  <sheetFormatPr defaultRowHeight="0"/>
  <cols>
    <col collapsed="false" customWidth="true" hidden="false" max="2" min="2" style="0" width="16.507042253521128"/>
    <col collapsed="false" customWidth="true" hidden="false" max="4" min="4" style="0" width="14.704225352112676"/>
    <col collapsed="false" customWidth="true" hidden="false" max="6" min="6" style="0" width="15.605633802816902"/>
    <col collapsed="false" customWidth="true" hidden="false" max="8" min="8" style="0" width="10.19718309859155"/>
    <col collapsed="false" customWidth="true" hidden="false" max="1" min="1" style="0" width="46.70422535211268"/>
    <col collapsed="false" customWidth="true" hidden="false" max="3" min="3" style="0" width="19.211267605633804"/>
    <col collapsed="false" customWidth="true" hidden="false" max="5" min="5" style="0" width="17.408450704225352"/>
    <col collapsed="false" customWidth="true" hidden="false" max="7" min="7" style="0" width="10.19718309859155"/>
  </cols>
  <sheetData>
    <row customHeight="true" ht="21.42857142857143" r="1">
      <c r="A1" s="79" t="s">
        <v>620</v>
      </c>
      <c r="B1" s="79"/>
      <c r="C1" s="79"/>
      <c r="D1" s="79"/>
      <c r="E1" s="79"/>
      <c r="F1" s="79"/>
      <c r="G1" s="79"/>
      <c r="H1" s="79"/>
    </row>
    <row customHeight="true" ht="13.095238095238095" r="2">
      <c r="A2" s="80" t="s">
        <v>621</v>
      </c>
      <c r="B2" s="80"/>
      <c r="C2" s="80"/>
      <c r="D2" s="80"/>
      <c r="E2" s="80"/>
      <c r="F2" s="80"/>
      <c r="G2" s="80"/>
      <c r="H2" s="80"/>
    </row>
    <row customHeight="true" ht="15.476190476190476" r="3">
      <c r="A3" s="81" t="s">
        <v>622</v>
      </c>
      <c r="B3" s="81"/>
      <c r="C3" s="81"/>
      <c r="D3" s="81"/>
      <c r="E3" s="81"/>
      <c r="F3" s="81"/>
      <c r="G3" s="81"/>
      <c r="H3" s="81"/>
    </row>
    <row customHeight="true" ht="16.666666666666668" r="4">
      <c r="A4" s="82" t="s">
        <v>623</v>
      </c>
      <c r="B4" s="82" t="s">
        <v>624</v>
      </c>
      <c r="C4" s="82" t="s">
        <v>625</v>
      </c>
      <c r="D4" s="82" t="s">
        <v>626</v>
      </c>
      <c r="E4" s="82" t="s">
        <v>627</v>
      </c>
      <c r="F4" s="82" t="s">
        <v>628</v>
      </c>
      <c r="G4" s="82" t="s">
        <v>629</v>
      </c>
      <c r="H4" s="82" t="s">
        <v>630</v>
      </c>
    </row>
    <row r="5">
      <c r="A5" s="83" t="s">
        <v>631</v>
      </c>
      <c r="B5" s="83" t="s">
        <v>632</v>
      </c>
      <c r="C5" s="84" t="s">
        <v>633</v>
      </c>
      <c r="D5" s="83">
        <v>180</v>
      </c>
      <c r="E5" s="83">
        <v>360</v>
      </c>
      <c r="F5" s="83">
        <v>0</v>
      </c>
      <c r="G5" s="83" t="s">
        <v>634</v>
      </c>
      <c r="H5" s="83" t="s">
        <v>635</v>
      </c>
    </row>
    <row r="6">
      <c r="A6" s="83" t="s">
        <v>636</v>
      </c>
      <c r="B6" s="83" t="s">
        <v>637</v>
      </c>
      <c r="C6" s="84" t="s">
        <v>638</v>
      </c>
      <c r="D6" s="83">
        <v>150</v>
      </c>
      <c r="E6" s="83">
        <v>300</v>
      </c>
      <c r="F6" s="83">
        <v>0</v>
      </c>
      <c r="G6" s="83" t="s">
        <v>634</v>
      </c>
      <c r="H6" s="83" t="s">
        <v>635</v>
      </c>
    </row>
    <row r="7">
      <c r="A7" s="83" t="s">
        <v>639</v>
      </c>
      <c r="B7" s="83" t="s">
        <v>637</v>
      </c>
      <c r="C7" s="84" t="s">
        <v>640</v>
      </c>
      <c r="D7" s="83">
        <v>170</v>
      </c>
      <c r="E7" s="83">
        <v>340</v>
      </c>
      <c r="F7" s="83">
        <v>-90</v>
      </c>
      <c r="G7" s="83" t="s">
        <v>634</v>
      </c>
      <c r="H7" s="83" t="s">
        <v>635</v>
      </c>
    </row>
    <row r="8">
      <c r="A8" s="83" t="s">
        <v>641</v>
      </c>
      <c r="B8" s="83" t="s">
        <v>632</v>
      </c>
      <c r="C8" s="84" t="s">
        <v>642</v>
      </c>
      <c r="D8" s="83">
        <v>240</v>
      </c>
      <c r="E8" s="83">
        <v>480</v>
      </c>
      <c r="F8" s="83">
        <v>0</v>
      </c>
      <c r="G8" s="83" t="s">
        <v>634</v>
      </c>
      <c r="H8" s="83" t="s">
        <v>635</v>
      </c>
    </row>
    <row r="9">
      <c r="A9" s="83" t="s">
        <v>643</v>
      </c>
      <c r="B9" s="83" t="s">
        <v>637</v>
      </c>
      <c r="C9" s="84" t="s">
        <v>644</v>
      </c>
      <c r="D9" s="83">
        <v>200</v>
      </c>
      <c r="E9" s="83">
        <v>400</v>
      </c>
      <c r="F9" s="83">
        <v>0</v>
      </c>
      <c r="G9" s="83" t="s">
        <v>634</v>
      </c>
      <c r="H9" s="83" t="s">
        <v>635</v>
      </c>
    </row>
    <row r="10">
      <c r="A10" s="83" t="s">
        <v>645</v>
      </c>
      <c r="B10" s="83" t="s">
        <v>632</v>
      </c>
      <c r="C10" s="84" t="s">
        <v>642</v>
      </c>
      <c r="D10" s="83">
        <v>260</v>
      </c>
      <c r="E10" s="83">
        <v>520</v>
      </c>
      <c r="F10" s="83">
        <v>0</v>
      </c>
      <c r="G10" s="83" t="s">
        <v>634</v>
      </c>
      <c r="H10" s="83" t="s">
        <v>635</v>
      </c>
    </row>
    <row customHeight="true" ht="15.476190476190476" r="11">
      <c r="A11" s="85" t="s">
        <v>646</v>
      </c>
      <c r="B11" s="85"/>
      <c r="C11" s="85"/>
      <c r="D11" s="85"/>
      <c r="E11" s="85"/>
      <c r="F11" s="85"/>
      <c r="G11" s="85"/>
      <c r="H11" s="85"/>
    </row>
    <row customHeight="true" ht="16.666666666666668" r="12">
      <c r="A12" s="82" t="s">
        <v>647</v>
      </c>
      <c r="B12" s="86" t="s">
        <v>648</v>
      </c>
      <c r="C12" s="86" t="s">
        <v>649</v>
      </c>
      <c r="D12" s="86" t="s">
        <v>650</v>
      </c>
      <c r="E12" s="86" t="s">
        <v>651</v>
      </c>
      <c r="F12" s="86" t="s">
        <v>652</v>
      </c>
      <c r="G12" s="86" t="s">
        <v>653</v>
      </c>
      <c r="H12" s="86" t="s">
        <v>654</v>
      </c>
    </row>
    <row customHeight="true" ht="22" r="13">
      <c r="A13" s="82" t="s">
        <v>655</v>
      </c>
      <c r="B13" s="87">
        <v>1</v>
      </c>
      <c r="C13" s="88">
        <v>9.8</v>
      </c>
      <c r="D13" s="88">
        <v>9.4</v>
      </c>
      <c r="E13" s="89">
        <v>0.31</v>
      </c>
      <c r="F13" s="88">
        <v>0.9</v>
      </c>
      <c r="G13" s="90" t="s">
        <v>656</v>
      </c>
      <c r="H13" s="82" t="s">
        <v>657</v>
      </c>
    </row>
    <row r="14">
      <c r="A14" s="84" t="s">
        <v>655</v>
      </c>
      <c r="B14" s="91">
        <v>1</v>
      </c>
      <c r="C14" s="92">
        <v>9.8</v>
      </c>
      <c r="D14" s="92">
        <v>9.6</v>
      </c>
      <c r="E14" s="93">
        <v>0.38</v>
      </c>
      <c r="F14" s="92">
        <v>1.1</v>
      </c>
      <c r="G14" s="94" t="s">
        <v>656</v>
      </c>
      <c r="H14" s="95" t="s">
        <v>658</v>
      </c>
    </row>
    <row r="15">
      <c r="A15" s="84" t="s">
        <v>659</v>
      </c>
      <c r="B15" s="91">
        <v>2</v>
      </c>
      <c r="C15" s="92">
        <v>14.5</v>
      </c>
      <c r="D15" s="92">
        <v>14.1</v>
      </c>
      <c r="E15" s="93">
        <v>0.42</v>
      </c>
      <c r="F15" s="92">
        <v>1.2</v>
      </c>
      <c r="G15" s="94" t="s">
        <v>656</v>
      </c>
      <c r="H15" s="94" t="s">
        <v>660</v>
      </c>
    </row>
    <row r="16">
      <c r="A16" s="84" t="s">
        <v>659</v>
      </c>
      <c r="B16" s="91">
        <v>2</v>
      </c>
      <c r="C16" s="92">
        <v>14.5</v>
      </c>
      <c r="D16" s="92">
        <v>14.3</v>
      </c>
      <c r="E16" s="93">
        <v>0.47</v>
      </c>
      <c r="F16" s="92">
        <v>1.3</v>
      </c>
      <c r="G16" s="94" t="s">
        <v>656</v>
      </c>
      <c r="H16" s="95" t="s">
        <v>658</v>
      </c>
    </row>
    <row r="17">
      <c r="A17" s="84" t="s">
        <v>661</v>
      </c>
      <c r="B17" s="91">
        <v>3</v>
      </c>
      <c r="C17" s="92">
        <v>21.2</v>
      </c>
      <c r="D17" s="92">
        <v>20.6</v>
      </c>
      <c r="E17" s="93">
        <v>0.55</v>
      </c>
      <c r="F17" s="92">
        <v>1.5</v>
      </c>
      <c r="G17" s="94" t="s">
        <v>656</v>
      </c>
      <c r="H17" s="95" t="s">
        <v>662</v>
      </c>
    </row>
    <row r="18">
      <c r="A18" s="84" t="s">
        <v>663</v>
      </c>
      <c r="B18" s="91">
        <v>5</v>
      </c>
      <c r="C18" s="92">
        <v>33.8</v>
      </c>
      <c r="D18" s="92">
        <v>32.4</v>
      </c>
      <c r="E18" s="93">
        <v>0.68</v>
      </c>
      <c r="F18" s="92">
        <v>1.8</v>
      </c>
      <c r="G18" s="94" t="s">
        <v>656</v>
      </c>
      <c r="H18" s="95" t="s">
        <v>664</v>
      </c>
    </row>
    <row customHeight="true" ht="15.476190476190476" r="19">
      <c r="A19" s="85" t="s">
        <v>665</v>
      </c>
      <c r="B19" s="85"/>
      <c r="C19" s="85"/>
      <c r="D19" s="85"/>
      <c r="E19" s="85"/>
      <c r="F19" s="85"/>
      <c r="G19" s="85"/>
      <c r="H19" s="85"/>
    </row>
    <row customHeight="true" ht="16.666666666666668" r="20">
      <c r="A20" s="82" t="s">
        <v>666</v>
      </c>
      <c r="B20" s="86" t="s">
        <v>667</v>
      </c>
      <c r="C20" s="86" t="s">
        <v>668</v>
      </c>
      <c r="D20" s="86" t="s">
        <v>669</v>
      </c>
      <c r="E20" s="86" t="s">
        <v>670</v>
      </c>
      <c r="F20" s="86" t="s">
        <v>671</v>
      </c>
      <c r="G20" s="86" t="s">
        <v>672</v>
      </c>
      <c r="H20" s="86" t="s">
        <v>673</v>
      </c>
    </row>
    <row customHeight="true" ht="22" r="21">
      <c r="A21" s="82" t="s">
        <v>674</v>
      </c>
      <c r="B21" s="82" t="s">
        <v>675</v>
      </c>
      <c r="C21" s="82" t="s">
        <v>676</v>
      </c>
      <c r="D21" s="88">
        <v>1.2</v>
      </c>
      <c r="E21" s="82" t="s">
        <v>677</v>
      </c>
      <c r="F21" s="82" t="s">
        <v>678</v>
      </c>
      <c r="G21" s="82" t="s">
        <v>679</v>
      </c>
      <c r="H21" s="90" t="s">
        <v>680</v>
      </c>
    </row>
    <row r="22">
      <c r="A22" s="84" t="s">
        <v>681</v>
      </c>
      <c r="B22" s="84" t="s">
        <v>682</v>
      </c>
      <c r="C22" s="84" t="s">
        <v>683</v>
      </c>
      <c r="D22" s="92">
        <v>1</v>
      </c>
      <c r="E22" s="83" t="s">
        <v>684</v>
      </c>
      <c r="F22" s="83" t="s">
        <v>685</v>
      </c>
      <c r="G22" s="83" t="s">
        <v>679</v>
      </c>
      <c r="H22" s="94" t="s">
        <v>680</v>
      </c>
    </row>
    <row r="23">
      <c r="A23" s="84" t="s">
        <v>686</v>
      </c>
      <c r="B23" s="83" t="s">
        <v>687</v>
      </c>
      <c r="C23" s="84" t="s">
        <v>688</v>
      </c>
      <c r="D23" s="92">
        <v>0.8</v>
      </c>
      <c r="E23" s="83" t="s">
        <v>689</v>
      </c>
      <c r="F23" s="84" t="s">
        <v>678</v>
      </c>
      <c r="G23" s="83" t="s">
        <v>679</v>
      </c>
      <c r="H23" s="94" t="s">
        <v>680</v>
      </c>
    </row>
    <row r="24">
      <c r="A24" s="83" t="s">
        <v>690</v>
      </c>
      <c r="B24" s="83" t="s">
        <v>691</v>
      </c>
      <c r="C24" s="84" t="s">
        <v>692</v>
      </c>
      <c r="D24" s="92">
        <v>0.4</v>
      </c>
      <c r="E24" s="83" t="s">
        <v>678</v>
      </c>
      <c r="F24" s="83" t="s">
        <v>678</v>
      </c>
      <c r="G24" s="83" t="s">
        <v>679</v>
      </c>
      <c r="H24" s="94" t="s">
        <v>680</v>
      </c>
    </row>
    <row r="25">
      <c r="A25" s="83" t="s">
        <v>693</v>
      </c>
      <c r="B25" s="83" t="s">
        <v>694</v>
      </c>
      <c r="C25" s="84" t="s">
        <v>683</v>
      </c>
      <c r="D25" s="92">
        <v>0.7</v>
      </c>
      <c r="E25" s="83" t="s">
        <v>695</v>
      </c>
      <c r="F25" s="83" t="s">
        <v>685</v>
      </c>
      <c r="G25" s="83" t="s">
        <v>679</v>
      </c>
      <c r="H25" s="94" t="s">
        <v>680</v>
      </c>
    </row>
    <row r="26">
      <c r="A26" s="83" t="s">
        <v>696</v>
      </c>
      <c r="B26" s="83" t="s">
        <v>697</v>
      </c>
      <c r="C26" s="84" t="s">
        <v>698</v>
      </c>
      <c r="D26" s="92">
        <v>1.3</v>
      </c>
      <c r="E26" s="83" t="s">
        <v>699</v>
      </c>
      <c r="F26" s="84" t="s">
        <v>685</v>
      </c>
      <c r="G26" s="83" t="s">
        <v>679</v>
      </c>
      <c r="H26" s="94" t="s">
        <v>680</v>
      </c>
    </row>
    <row r="27">
      <c r="A27" s="83" t="s">
        <v>700</v>
      </c>
      <c r="B27" s="83" t="s">
        <v>701</v>
      </c>
      <c r="C27" s="84" t="s">
        <v>702</v>
      </c>
      <c r="D27" s="92">
        <v>0.8</v>
      </c>
      <c r="E27" s="83" t="s">
        <v>689</v>
      </c>
      <c r="F27" s="84" t="s">
        <v>678</v>
      </c>
      <c r="G27" s="83" t="s">
        <v>679</v>
      </c>
      <c r="H27" s="94" t="s">
        <v>680</v>
      </c>
    </row>
    <row r="28">
      <c r="A28" s="83" t="s">
        <v>703</v>
      </c>
      <c r="B28" s="83" t="s">
        <v>704</v>
      </c>
      <c r="C28" s="84" t="s">
        <v>705</v>
      </c>
      <c r="D28" s="92">
        <v>1.1</v>
      </c>
      <c r="E28" s="83" t="s">
        <v>706</v>
      </c>
      <c r="F28" s="83" t="s">
        <v>678</v>
      </c>
      <c r="G28" s="83" t="s">
        <v>679</v>
      </c>
      <c r="H28" s="94" t="s">
        <v>680</v>
      </c>
    </row>
    <row r="29">
      <c r="A29" s="96" t="s">
        <v>703</v>
      </c>
      <c r="B29" s="96" t="s">
        <v>704</v>
      </c>
      <c r="C29" s="97" t="s">
        <v>705</v>
      </c>
      <c r="D29" s="96">
        <v>1.1</v>
      </c>
      <c r="E29" s="96" t="s">
        <v>706</v>
      </c>
      <c r="F29" s="96" t="s">
        <v>678</v>
      </c>
      <c r="G29" s="96" t="s">
        <v>679</v>
      </c>
      <c r="H29" s="98" t="s">
        <v>680</v>
      </c>
    </row>
  </sheetData>
  <mergeCells>
    <mergeCell ref="A1:H1"/>
    <mergeCell ref="A2:H2"/>
    <mergeCell ref="A3:H3"/>
    <mergeCell ref="A11:H11"/>
    <mergeCell ref="A19:H19"/>
  </mergeCells>
  <pageMargins bottom="1" footer="0.5" header="0.5" left="0.75" right="0.75" top="1"/>
  <drawing r:id="rId1"/>
</worksheet>
</file>

<file path=xl/worksheets/sheet8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3" ySplit="2"/>
    </sheetView>
  </sheetViews>
  <sheetFormatPr defaultRowHeight="0"/>
  <cols>
    <col collapsed="false" customWidth="true" hidden="false" max="2" min="2" style="0" width="8.394366197183098"/>
    <col collapsed="false" customWidth="true" hidden="false" max="4" min="4" style="0" width="29.12676056338028"/>
    <col collapsed="false" customWidth="true" hidden="false" max="6" min="6" style="0" width="12"/>
    <col collapsed="false" customWidth="true" hidden="false" max="8" min="8" style="0" width="11.098591549295774"/>
    <col collapsed="false" customWidth="true" hidden="false" max="10" min="10" style="0" width="13.80281690140845"/>
    <col collapsed="false" customWidth="true" hidden="false" max="1" min="1" style="0" width="46.70422535211268"/>
    <col collapsed="false" customWidth="true" hidden="false" max="3" min="3" style="0" width="17.408450704225352"/>
    <col collapsed="false" customWidth="true" hidden="false" max="5" min="5" style="0" width="12"/>
    <col collapsed="false" customWidth="true" hidden="false" max="7" min="7" style="0" width="14.704225352112676"/>
    <col collapsed="false" customWidth="true" hidden="false" max="9" min="9" style="0" width="8.394366197183098"/>
  </cols>
  <sheetData>
    <row customHeight="true" ht="21.42857142857143" r="1">
      <c r="A1" s="99" t="s">
        <v>707</v>
      </c>
      <c r="B1" s="99"/>
      <c r="C1" s="99"/>
      <c r="D1" s="99"/>
      <c r="E1" s="99"/>
      <c r="F1" s="99"/>
      <c r="G1" s="99"/>
      <c r="H1" s="99"/>
      <c r="I1" s="99"/>
      <c r="J1" s="99"/>
    </row>
    <row customHeight="true" ht="13.095238095238095" r="2">
      <c r="A2" s="100" t="s">
        <v>708</v>
      </c>
      <c r="B2" s="100"/>
      <c r="C2" s="100"/>
      <c r="D2" s="100"/>
      <c r="E2" s="100"/>
      <c r="F2" s="100"/>
      <c r="G2" s="100"/>
      <c r="H2" s="100"/>
      <c r="I2" s="100"/>
      <c r="J2" s="100"/>
    </row>
    <row customHeight="true" ht="15.476190476190476" r="3">
      <c r="A3" s="101" t="s">
        <v>709</v>
      </c>
      <c r="B3" s="101"/>
      <c r="C3" s="101"/>
      <c r="D3" s="101"/>
      <c r="E3" s="101"/>
      <c r="F3" s="101"/>
      <c r="G3" s="101"/>
      <c r="H3" s="101"/>
      <c r="I3" s="101"/>
      <c r="J3" s="101"/>
    </row>
    <row customHeight="true" ht="16.666666666666668" r="4">
      <c r="A4" s="102" t="s">
        <v>710</v>
      </c>
      <c r="B4" s="102" t="s">
        <v>711</v>
      </c>
      <c r="C4" s="102" t="s">
        <v>712</v>
      </c>
      <c r="D4" s="102" t="s">
        <v>713</v>
      </c>
      <c r="E4" s="102" t="s">
        <v>714</v>
      </c>
      <c r="F4" s="102" t="s">
        <v>715</v>
      </c>
      <c r="G4" s="102" t="s">
        <v>716</v>
      </c>
      <c r="H4" s="102" t="s">
        <v>717</v>
      </c>
      <c r="I4" s="102" t="s">
        <v>718</v>
      </c>
      <c r="J4" s="102" t="s">
        <v>719</v>
      </c>
    </row>
    <row r="5">
      <c r="A5" s="103" t="s">
        <v>720</v>
      </c>
      <c r="B5" s="103" t="s">
        <v>721</v>
      </c>
      <c r="C5" s="103" t="s">
        <v>722</v>
      </c>
      <c r="D5" s="103" t="s">
        <v>723</v>
      </c>
      <c r="E5" s="104" t="s">
        <v>724</v>
      </c>
      <c r="F5" s="104" t="s">
        <v>725</v>
      </c>
      <c r="G5" s="103" t="s">
        <v>726</v>
      </c>
      <c r="H5" s="105">
        <v>2.6</v>
      </c>
      <c r="I5" s="106" t="s">
        <v>727</v>
      </c>
      <c r="J5" s="106" t="s">
        <v>728</v>
      </c>
    </row>
    <row r="6">
      <c r="A6" s="103" t="s">
        <v>729</v>
      </c>
      <c r="B6" s="103" t="s">
        <v>721</v>
      </c>
      <c r="C6" s="103" t="s">
        <v>730</v>
      </c>
      <c r="D6" s="103" t="s">
        <v>731</v>
      </c>
      <c r="E6" s="104" t="s">
        <v>732</v>
      </c>
      <c r="F6" s="104" t="s">
        <v>733</v>
      </c>
      <c r="G6" s="103" t="s">
        <v>726</v>
      </c>
      <c r="H6" s="105">
        <v>2.3</v>
      </c>
      <c r="I6" s="106" t="s">
        <v>727</v>
      </c>
      <c r="J6" s="106" t="s">
        <v>734</v>
      </c>
    </row>
    <row r="7">
      <c r="A7" s="103" t="s">
        <v>735</v>
      </c>
      <c r="B7" s="103" t="s">
        <v>721</v>
      </c>
      <c r="C7" s="103" t="s">
        <v>736</v>
      </c>
      <c r="D7" s="103" t="s">
        <v>737</v>
      </c>
      <c r="E7" s="104" t="s">
        <v>738</v>
      </c>
      <c r="F7" s="104" t="s">
        <v>739</v>
      </c>
      <c r="G7" s="103" t="s">
        <v>726</v>
      </c>
      <c r="H7" s="105">
        <v>2.1</v>
      </c>
      <c r="I7" s="107" t="s">
        <v>740</v>
      </c>
      <c r="J7" s="106" t="s">
        <v>741</v>
      </c>
    </row>
    <row r="8">
      <c r="A8" s="103" t="s">
        <v>742</v>
      </c>
      <c r="B8" s="103" t="s">
        <v>721</v>
      </c>
      <c r="C8" s="103" t="s">
        <v>743</v>
      </c>
      <c r="D8" s="103" t="s">
        <v>744</v>
      </c>
      <c r="E8" s="104" t="s">
        <v>745</v>
      </c>
      <c r="F8" s="104" t="s">
        <v>746</v>
      </c>
      <c r="G8" s="103" t="s">
        <v>747</v>
      </c>
      <c r="H8" s="105">
        <v>2.8</v>
      </c>
      <c r="I8" s="106" t="s">
        <v>727</v>
      </c>
      <c r="J8" s="108" t="s">
        <v>748</v>
      </c>
    </row>
    <row r="9">
      <c r="A9" s="103" t="s">
        <v>749</v>
      </c>
      <c r="B9" s="103" t="s">
        <v>721</v>
      </c>
      <c r="C9" s="103" t="s">
        <v>750</v>
      </c>
      <c r="D9" s="103" t="s">
        <v>751</v>
      </c>
      <c r="E9" s="104" t="s">
        <v>752</v>
      </c>
      <c r="F9" s="104" t="s">
        <v>753</v>
      </c>
      <c r="G9" s="103" t="s">
        <v>726</v>
      </c>
      <c r="H9" s="105">
        <v>2.5</v>
      </c>
      <c r="I9" s="106" t="s">
        <v>727</v>
      </c>
      <c r="J9" s="106" t="s">
        <v>754</v>
      </c>
    </row>
    <row r="10">
      <c r="A10" s="103" t="s">
        <v>755</v>
      </c>
      <c r="B10" s="103" t="s">
        <v>721</v>
      </c>
      <c r="C10" s="103" t="s">
        <v>756</v>
      </c>
      <c r="D10" s="103" t="s">
        <v>757</v>
      </c>
      <c r="E10" s="104" t="s">
        <v>758</v>
      </c>
      <c r="F10" s="104" t="s">
        <v>759</v>
      </c>
      <c r="G10" s="103" t="s">
        <v>726</v>
      </c>
      <c r="H10" s="105">
        <v>2.4</v>
      </c>
      <c r="I10" s="106" t="s">
        <v>727</v>
      </c>
      <c r="J10" s="106" t="s">
        <v>760</v>
      </c>
    </row>
    <row r="11">
      <c r="A11" s="103" t="s">
        <v>761</v>
      </c>
      <c r="B11" s="103" t="s">
        <v>721</v>
      </c>
      <c r="C11" s="103" t="s">
        <v>762</v>
      </c>
      <c r="D11" s="103" t="s">
        <v>763</v>
      </c>
      <c r="E11" s="104" t="s">
        <v>764</v>
      </c>
      <c r="F11" s="104" t="s">
        <v>746</v>
      </c>
      <c r="G11" s="103" t="s">
        <v>726</v>
      </c>
      <c r="H11" s="105">
        <v>2.7</v>
      </c>
      <c r="I11" s="106" t="s">
        <v>727</v>
      </c>
      <c r="J11" s="108" t="s">
        <v>765</v>
      </c>
    </row>
    <row r="12">
      <c r="A12" s="103" t="s">
        <v>766</v>
      </c>
      <c r="B12" s="103" t="s">
        <v>721</v>
      </c>
      <c r="C12" s="103" t="s">
        <v>767</v>
      </c>
      <c r="D12" s="103" t="s">
        <v>768</v>
      </c>
      <c r="E12" s="104" t="s">
        <v>769</v>
      </c>
      <c r="F12" s="104" t="s">
        <v>733</v>
      </c>
      <c r="G12" s="103" t="s">
        <v>726</v>
      </c>
      <c r="H12" s="105">
        <v>2.9</v>
      </c>
      <c r="I12" s="106" t="s">
        <v>727</v>
      </c>
      <c r="J12" s="108" t="s">
        <v>770</v>
      </c>
    </row>
    <row r="13">
      <c r="A13" s="103" t="s">
        <v>771</v>
      </c>
      <c r="B13" s="103" t="s">
        <v>721</v>
      </c>
      <c r="C13" s="103" t="s">
        <v>772</v>
      </c>
      <c r="D13" s="103" t="s">
        <v>773</v>
      </c>
      <c r="E13" s="104" t="s">
        <v>774</v>
      </c>
      <c r="F13" s="104" t="s">
        <v>775</v>
      </c>
      <c r="G13" s="103" t="s">
        <v>726</v>
      </c>
      <c r="H13" s="105">
        <v>2.6</v>
      </c>
      <c r="I13" s="106" t="s">
        <v>727</v>
      </c>
      <c r="J13" s="106" t="s">
        <v>776</v>
      </c>
    </row>
    <row r="14">
      <c r="A14" s="103" t="s">
        <v>777</v>
      </c>
      <c r="B14" s="103" t="s">
        <v>778</v>
      </c>
      <c r="C14" s="103" t="s">
        <v>779</v>
      </c>
      <c r="D14" s="104" t="s">
        <v>780</v>
      </c>
      <c r="E14" s="104" t="s">
        <v>781</v>
      </c>
      <c r="F14" s="104" t="s">
        <v>782</v>
      </c>
      <c r="G14" s="103" t="s">
        <v>726</v>
      </c>
      <c r="H14" s="105">
        <v>3</v>
      </c>
      <c r="I14" s="106" t="s">
        <v>727</v>
      </c>
      <c r="J14" s="106" t="s">
        <v>734</v>
      </c>
    </row>
    <row r="15">
      <c r="A15" s="103" t="s">
        <v>783</v>
      </c>
      <c r="B15" s="103" t="s">
        <v>778</v>
      </c>
      <c r="C15" s="103" t="s">
        <v>784</v>
      </c>
      <c r="D15" s="103" t="s">
        <v>785</v>
      </c>
      <c r="E15" s="104" t="s">
        <v>786</v>
      </c>
      <c r="F15" s="104" t="s">
        <v>787</v>
      </c>
      <c r="G15" s="103" t="s">
        <v>726</v>
      </c>
      <c r="H15" s="105">
        <v>2.8</v>
      </c>
      <c r="I15" s="106" t="s">
        <v>727</v>
      </c>
      <c r="J15" s="106" t="s">
        <v>788</v>
      </c>
    </row>
    <row r="16">
      <c r="A16" s="103" t="s">
        <v>789</v>
      </c>
      <c r="B16" s="103" t="s">
        <v>778</v>
      </c>
      <c r="C16" s="103" t="s">
        <v>790</v>
      </c>
      <c r="D16" s="103" t="s">
        <v>791</v>
      </c>
      <c r="E16" s="104" t="s">
        <v>792</v>
      </c>
      <c r="F16" s="104" t="s">
        <v>793</v>
      </c>
      <c r="G16" s="103" t="s">
        <v>726</v>
      </c>
      <c r="H16" s="105">
        <v>2.2</v>
      </c>
      <c r="I16" s="106" t="s">
        <v>727</v>
      </c>
      <c r="J16" s="106" t="s">
        <v>794</v>
      </c>
    </row>
    <row r="17">
      <c r="A17" s="103" t="s">
        <v>795</v>
      </c>
      <c r="B17" s="103" t="s">
        <v>778</v>
      </c>
      <c r="C17" s="103" t="s">
        <v>743</v>
      </c>
      <c r="D17" s="103" t="s">
        <v>744</v>
      </c>
      <c r="E17" s="104" t="s">
        <v>796</v>
      </c>
      <c r="F17" s="104" t="s">
        <v>746</v>
      </c>
      <c r="G17" s="103" t="s">
        <v>747</v>
      </c>
      <c r="H17" s="105">
        <v>2.9</v>
      </c>
      <c r="I17" s="106" t="s">
        <v>727</v>
      </c>
      <c r="J17" s="106" t="s">
        <v>797</v>
      </c>
    </row>
    <row r="18">
      <c r="A18" s="103" t="s">
        <v>798</v>
      </c>
      <c r="B18" s="103" t="s">
        <v>778</v>
      </c>
      <c r="C18" s="103" t="s">
        <v>722</v>
      </c>
      <c r="D18" s="103" t="s">
        <v>723</v>
      </c>
      <c r="E18" s="104" t="s">
        <v>799</v>
      </c>
      <c r="F18" s="104" t="s">
        <v>800</v>
      </c>
      <c r="G18" s="103" t="s">
        <v>726</v>
      </c>
      <c r="H18" s="105">
        <v>2.6</v>
      </c>
      <c r="I18" s="106" t="s">
        <v>727</v>
      </c>
      <c r="J18" s="106" t="s">
        <v>801</v>
      </c>
    </row>
    <row r="19">
      <c r="A19" s="103" t="s">
        <v>802</v>
      </c>
      <c r="B19" s="103" t="s">
        <v>778</v>
      </c>
      <c r="C19" s="103" t="s">
        <v>750</v>
      </c>
      <c r="D19" s="103" t="s">
        <v>751</v>
      </c>
      <c r="E19" s="104" t="s">
        <v>803</v>
      </c>
      <c r="F19" s="104" t="s">
        <v>804</v>
      </c>
      <c r="G19" s="103" t="s">
        <v>726</v>
      </c>
      <c r="H19" s="105">
        <v>2.5</v>
      </c>
      <c r="I19" s="106" t="s">
        <v>727</v>
      </c>
      <c r="J19" s="108" t="s">
        <v>805</v>
      </c>
    </row>
    <row r="20">
      <c r="A20" s="103" t="s">
        <v>806</v>
      </c>
      <c r="B20" s="103" t="s">
        <v>778</v>
      </c>
      <c r="C20" s="103" t="s">
        <v>730</v>
      </c>
      <c r="D20" s="103" t="s">
        <v>731</v>
      </c>
      <c r="E20" s="104" t="s">
        <v>807</v>
      </c>
      <c r="F20" s="104" t="s">
        <v>733</v>
      </c>
      <c r="G20" s="103" t="s">
        <v>726</v>
      </c>
      <c r="H20" s="105">
        <v>2.3</v>
      </c>
      <c r="I20" s="106" t="s">
        <v>727</v>
      </c>
      <c r="J20" s="106" t="s">
        <v>808</v>
      </c>
    </row>
    <row r="21">
      <c r="A21" s="103" t="s">
        <v>809</v>
      </c>
      <c r="B21" s="103" t="s">
        <v>778</v>
      </c>
      <c r="C21" s="103" t="s">
        <v>736</v>
      </c>
      <c r="D21" s="103" t="s">
        <v>737</v>
      </c>
      <c r="E21" s="104" t="s">
        <v>810</v>
      </c>
      <c r="F21" s="104" t="s">
        <v>739</v>
      </c>
      <c r="G21" s="103" t="s">
        <v>726</v>
      </c>
      <c r="H21" s="105">
        <v>2.2</v>
      </c>
      <c r="I21" s="107" t="s">
        <v>740</v>
      </c>
      <c r="J21" s="106" t="s">
        <v>811</v>
      </c>
    </row>
    <row r="22">
      <c r="A22" s="103" t="s">
        <v>812</v>
      </c>
      <c r="B22" s="103" t="s">
        <v>778</v>
      </c>
      <c r="C22" s="103" t="s">
        <v>756</v>
      </c>
      <c r="D22" s="103" t="s">
        <v>757</v>
      </c>
      <c r="E22" s="104" t="s">
        <v>813</v>
      </c>
      <c r="F22" s="104" t="s">
        <v>759</v>
      </c>
      <c r="G22" s="103" t="s">
        <v>726</v>
      </c>
      <c r="H22" s="105">
        <v>2.4</v>
      </c>
      <c r="I22" s="106" t="s">
        <v>727</v>
      </c>
      <c r="J22" s="106" t="s">
        <v>814</v>
      </c>
    </row>
    <row r="23">
      <c r="A23" s="109" t="s">
        <v>815</v>
      </c>
      <c r="B23" s="109" t="s">
        <v>816</v>
      </c>
      <c r="C23" s="109" t="s">
        <v>767</v>
      </c>
      <c r="D23" s="109" t="s">
        <v>768</v>
      </c>
      <c r="E23" s="109" t="s">
        <v>817</v>
      </c>
      <c r="F23" s="109" t="s">
        <v>733</v>
      </c>
      <c r="G23" s="109" t="s">
        <v>726</v>
      </c>
      <c r="H23" s="110">
        <v>2.8</v>
      </c>
      <c r="I23" s="111" t="s">
        <v>727</v>
      </c>
      <c r="J23" s="109" t="s">
        <v>794</v>
      </c>
    </row>
    <row customHeight="true" ht="20" r="24">
      <c r="A24" s="101" t="s">
        <v>818</v>
      </c>
      <c r="B24" s="109" t="s">
        <v>816</v>
      </c>
      <c r="C24" s="109" t="s">
        <v>762</v>
      </c>
      <c r="D24" s="109" t="s">
        <v>763</v>
      </c>
      <c r="E24" s="109" t="s">
        <v>819</v>
      </c>
      <c r="F24" s="109" t="s">
        <v>746</v>
      </c>
      <c r="G24" s="109" t="s">
        <v>726</v>
      </c>
      <c r="H24" s="110">
        <v>2.7</v>
      </c>
      <c r="I24" s="111" t="s">
        <v>727</v>
      </c>
      <c r="J24" s="109" t="s">
        <v>765</v>
      </c>
    </row>
    <row customHeight="true" ht="22" r="25">
      <c r="A25" s="102" t="s">
        <v>820</v>
      </c>
      <c r="B25" s="102" t="s">
        <v>816</v>
      </c>
      <c r="C25" s="102" t="s">
        <v>772</v>
      </c>
      <c r="D25" s="109" t="s">
        <v>773</v>
      </c>
      <c r="E25" s="109" t="s">
        <v>821</v>
      </c>
      <c r="F25" s="109" t="s">
        <v>775</v>
      </c>
      <c r="G25" s="109" t="s">
        <v>726</v>
      </c>
      <c r="H25" s="110">
        <v>2.5</v>
      </c>
      <c r="I25" s="111" t="s">
        <v>727</v>
      </c>
      <c r="J25" s="109" t="s">
        <v>776</v>
      </c>
    </row>
    <row r="26">
      <c r="A26" s="104" t="s">
        <v>822</v>
      </c>
      <c r="B26" s="112" t="s">
        <v>816</v>
      </c>
      <c r="C26" s="104" t="s">
        <v>784</v>
      </c>
      <c r="D26" s="109" t="s">
        <v>785</v>
      </c>
      <c r="E26" s="109" t="s">
        <v>823</v>
      </c>
      <c r="F26" s="109" t="s">
        <v>787</v>
      </c>
      <c r="G26" s="109" t="s">
        <v>726</v>
      </c>
      <c r="H26" s="110">
        <v>2.9</v>
      </c>
      <c r="I26" s="111" t="s">
        <v>727</v>
      </c>
      <c r="J26" s="109" t="s">
        <v>788</v>
      </c>
    </row>
    <row r="27">
      <c r="A27" s="103" t="s">
        <v>824</v>
      </c>
      <c r="B27" s="112" t="s">
        <v>816</v>
      </c>
      <c r="C27" s="104" t="s">
        <v>790</v>
      </c>
      <c r="D27" s="109" t="s">
        <v>791</v>
      </c>
      <c r="E27" s="109" t="s">
        <v>825</v>
      </c>
      <c r="F27" s="109" t="s">
        <v>793</v>
      </c>
      <c r="G27" s="109" t="s">
        <v>726</v>
      </c>
      <c r="H27" s="110">
        <v>2.1</v>
      </c>
      <c r="I27" s="111" t="s">
        <v>727</v>
      </c>
      <c r="J27" s="109" t="s">
        <v>794</v>
      </c>
    </row>
    <row r="28">
      <c r="A28" s="104" t="s">
        <v>826</v>
      </c>
      <c r="B28" s="113" t="s">
        <v>816</v>
      </c>
      <c r="C28" s="104" t="s">
        <v>743</v>
      </c>
      <c r="D28" s="109" t="s">
        <v>744</v>
      </c>
      <c r="E28" s="109" t="s">
        <v>827</v>
      </c>
      <c r="F28" s="109" t="s">
        <v>746</v>
      </c>
      <c r="G28" s="109" t="s">
        <v>747</v>
      </c>
      <c r="H28" s="110">
        <v>2.8</v>
      </c>
      <c r="I28" s="111" t="s">
        <v>727</v>
      </c>
      <c r="J28" s="109" t="s">
        <v>828</v>
      </c>
    </row>
    <row r="29">
      <c r="A29" s="104" t="s">
        <v>829</v>
      </c>
      <c r="B29" s="114" t="s">
        <v>816</v>
      </c>
      <c r="C29" s="104" t="s">
        <v>779</v>
      </c>
      <c r="D29" s="109" t="s">
        <v>780</v>
      </c>
      <c r="E29" s="109" t="s">
        <v>830</v>
      </c>
      <c r="F29" s="109" t="s">
        <v>782</v>
      </c>
      <c r="G29" s="109" t="s">
        <v>726</v>
      </c>
      <c r="H29" s="110">
        <v>3.1</v>
      </c>
      <c r="I29" s="111" t="s">
        <v>727</v>
      </c>
      <c r="J29" s="109" t="s">
        <v>831</v>
      </c>
    </row>
    <row r="30">
      <c r="A30" s="104" t="s">
        <v>832</v>
      </c>
      <c r="B30" s="115" t="s">
        <v>816</v>
      </c>
      <c r="C30" s="103" t="s">
        <v>722</v>
      </c>
      <c r="D30" s="109" t="s">
        <v>723</v>
      </c>
      <c r="E30" s="109" t="s">
        <v>833</v>
      </c>
      <c r="F30" s="109" t="s">
        <v>725</v>
      </c>
      <c r="G30" s="109" t="s">
        <v>726</v>
      </c>
      <c r="H30" s="110">
        <v>2.6</v>
      </c>
      <c r="I30" s="111" t="s">
        <v>727</v>
      </c>
      <c r="J30" s="109" t="s">
        <v>728</v>
      </c>
    </row>
    <row r="31">
      <c r="A31" s="109" t="s">
        <v>834</v>
      </c>
      <c r="B31" s="109" t="s">
        <v>816</v>
      </c>
      <c r="C31" s="109" t="s">
        <v>750</v>
      </c>
      <c r="D31" s="109" t="s">
        <v>751</v>
      </c>
      <c r="E31" s="109" t="s">
        <v>835</v>
      </c>
      <c r="F31" s="109" t="s">
        <v>804</v>
      </c>
      <c r="G31" s="109" t="s">
        <v>726</v>
      </c>
      <c r="H31" s="110">
        <v>2.5</v>
      </c>
      <c r="I31" s="111" t="s">
        <v>727</v>
      </c>
      <c r="J31" s="109" t="s">
        <v>801</v>
      </c>
    </row>
    <row customHeight="true" ht="15.476190476190476" r="32">
      <c r="A32" s="101" t="s">
        <v>836</v>
      </c>
      <c r="B32" s="101"/>
      <c r="C32" s="101"/>
      <c r="D32" s="101"/>
      <c r="E32" s="101"/>
      <c r="F32" s="101"/>
      <c r="G32" s="101"/>
      <c r="H32" s="101"/>
      <c r="I32" s="101"/>
      <c r="J32" s="101"/>
    </row>
    <row customHeight="true" ht="16.666666666666668" r="33">
      <c r="A33" s="102" t="s">
        <v>837</v>
      </c>
      <c r="B33" s="102" t="s">
        <v>838</v>
      </c>
      <c r="C33" s="102" t="s">
        <v>839</v>
      </c>
      <c r="D33" s="102" t="s">
        <v>840</v>
      </c>
      <c r="E33" s="102" t="s">
        <v>840</v>
      </c>
      <c r="F33" s="102" t="s">
        <v>840</v>
      </c>
      <c r="G33" s="102" t="s">
        <v>840</v>
      </c>
      <c r="H33" s="102" t="s">
        <v>840</v>
      </c>
      <c r="I33" s="109" t="s">
        <v>840</v>
      </c>
      <c r="J33" s="109" t="s">
        <v>840</v>
      </c>
    </row>
    <row r="34">
      <c r="A34" s="103" t="s">
        <v>841</v>
      </c>
      <c r="B34" s="116">
        <f>COUNTA(A5:A31)</f>
      </c>
      <c r="C34" s="104" t="s">
        <v>842</v>
      </c>
      <c r="D34" s="116" t="s">
        <v>840</v>
      </c>
      <c r="E34" s="116" t="s">
        <v>840</v>
      </c>
      <c r="F34" s="117" t="s">
        <v>840</v>
      </c>
      <c r="G34" s="103" t="s">
        <v>840</v>
      </c>
      <c r="H34" s="108" t="s">
        <v>840</v>
      </c>
      <c r="I34" s="109" t="s">
        <v>840</v>
      </c>
      <c r="J34" s="109" t="s">
        <v>840</v>
      </c>
    </row>
    <row r="35">
      <c r="A35" s="103" t="s">
        <v>843</v>
      </c>
      <c r="B35" s="116">
        <f>COUNTIF(I5:I31,"成功")</f>
      </c>
      <c r="C35" s="104" t="s">
        <v>844</v>
      </c>
      <c r="D35" s="116" t="s">
        <v>840</v>
      </c>
      <c r="E35" s="116" t="s">
        <v>840</v>
      </c>
      <c r="F35" s="117" t="s">
        <v>840</v>
      </c>
      <c r="G35" s="103" t="s">
        <v>840</v>
      </c>
      <c r="H35" s="108" t="s">
        <v>840</v>
      </c>
      <c r="I35" s="109" t="s">
        <v>840</v>
      </c>
      <c r="J35" s="109" t="s">
        <v>840</v>
      </c>
    </row>
    <row r="36">
      <c r="A36" s="103" t="s">
        <v>845</v>
      </c>
      <c r="B36" s="114">
        <f>COUNTIF(I5:I31,"成功")/COUNTA(A5:A31)</f>
      </c>
      <c r="C36" s="104" t="s">
        <v>846</v>
      </c>
      <c r="D36" s="116" t="s">
        <v>840</v>
      </c>
      <c r="E36" s="116" t="s">
        <v>840</v>
      </c>
      <c r="F36" s="117" t="s">
        <v>840</v>
      </c>
      <c r="G36" s="103" t="s">
        <v>840</v>
      </c>
      <c r="H36" s="108" t="s">
        <v>840</v>
      </c>
      <c r="I36" s="109" t="s">
        <v>840</v>
      </c>
      <c r="J36" s="109" t="s">
        <v>840</v>
      </c>
    </row>
    <row r="37">
      <c r="A37" s="103" t="s">
        <v>847</v>
      </c>
      <c r="B37" s="105">
        <f>ROUND(AVERAGE(H5:H31),2)</f>
      </c>
      <c r="C37" s="104" t="s">
        <v>848</v>
      </c>
      <c r="D37" s="116" t="s">
        <v>840</v>
      </c>
      <c r="E37" s="116" t="s">
        <v>840</v>
      </c>
      <c r="F37" s="117" t="s">
        <v>840</v>
      </c>
      <c r="G37" s="103" t="s">
        <v>840</v>
      </c>
      <c r="H37" s="106" t="s">
        <v>840</v>
      </c>
      <c r="I37" s="109" t="s">
        <v>840</v>
      </c>
      <c r="J37" s="109" t="s">
        <v>840</v>
      </c>
    </row>
    <row r="38">
      <c r="A38" s="103" t="s">
        <v>849</v>
      </c>
      <c r="B38" s="114">
        <f>105/108</f>
      </c>
      <c r="C38" s="104" t="s">
        <v>850</v>
      </c>
      <c r="D38" s="116" t="s">
        <v>840</v>
      </c>
      <c r="E38" s="116" t="s">
        <v>840</v>
      </c>
      <c r="F38" s="117" t="s">
        <v>840</v>
      </c>
      <c r="G38" s="103" t="s">
        <v>840</v>
      </c>
      <c r="H38" s="108" t="s">
        <v>840</v>
      </c>
      <c r="I38" s="109" t="s">
        <v>840</v>
      </c>
      <c r="J38" s="109" t="s">
        <v>840</v>
      </c>
    </row>
    <row r="39">
      <c r="A39" s="109" t="s">
        <v>851</v>
      </c>
      <c r="B39" s="110">
        <f>ROUND(AVERAGE(E57:E62),1)</f>
      </c>
      <c r="C39" s="109" t="s">
        <v>852</v>
      </c>
      <c r="D39" s="109" t="s">
        <v>840</v>
      </c>
      <c r="E39" s="109" t="s">
        <v>840</v>
      </c>
      <c r="F39" s="109" t="s">
        <v>840</v>
      </c>
      <c r="G39" s="109" t="s">
        <v>840</v>
      </c>
      <c r="H39" s="109" t="s">
        <v>840</v>
      </c>
      <c r="I39" s="109" t="s">
        <v>840</v>
      </c>
      <c r="J39" s="109" t="s">
        <v>840</v>
      </c>
    </row>
    <row customHeight="true" ht="15.476190476190476" r="40">
      <c r="A40" s="118" t="s">
        <v>853</v>
      </c>
      <c r="B40" s="118"/>
      <c r="C40" s="118"/>
      <c r="D40" s="118"/>
      <c r="E40" s="118"/>
      <c r="F40" s="118"/>
      <c r="G40" s="118"/>
      <c r="H40" s="118"/>
      <c r="I40" s="118"/>
      <c r="J40" s="118"/>
    </row>
    <row customHeight="true" ht="16.666666666666668" r="41">
      <c r="A41" s="119" t="s">
        <v>713</v>
      </c>
      <c r="B41" s="119" t="s">
        <v>854</v>
      </c>
      <c r="C41" s="119" t="s">
        <v>727</v>
      </c>
      <c r="D41" s="119" t="s">
        <v>855</v>
      </c>
      <c r="E41" s="109" t="s">
        <v>840</v>
      </c>
      <c r="F41" s="109" t="s">
        <v>840</v>
      </c>
      <c r="G41" s="109" t="s">
        <v>840</v>
      </c>
      <c r="H41" s="109" t="s">
        <v>840</v>
      </c>
      <c r="I41" s="109" t="s">
        <v>840</v>
      </c>
      <c r="J41" s="109" t="s">
        <v>840</v>
      </c>
    </row>
    <row r="42">
      <c r="A42" s="109" t="s">
        <v>722</v>
      </c>
      <c r="B42" s="120">
        <v>3</v>
      </c>
      <c r="C42" s="120">
        <v>3</v>
      </c>
      <c r="D42" s="121">
        <f t="shared" ref="D42:D53" si="0">IF(B42=0,"",C42/B42)</f>
      </c>
      <c r="E42" s="109" t="s">
        <v>840</v>
      </c>
      <c r="F42" s="109" t="s">
        <v>840</v>
      </c>
      <c r="G42" s="109" t="s">
        <v>840</v>
      </c>
      <c r="H42" s="109" t="s">
        <v>840</v>
      </c>
      <c r="I42" s="109" t="s">
        <v>840</v>
      </c>
      <c r="J42" s="109" t="s">
        <v>840</v>
      </c>
    </row>
    <row r="43">
      <c r="A43" s="109" t="s">
        <v>730</v>
      </c>
      <c r="B43" s="120">
        <v>2</v>
      </c>
      <c r="C43" s="120">
        <v>2</v>
      </c>
      <c r="D43" s="121">
        <f t="shared" si="0"/>
      </c>
      <c r="E43" s="109" t="s">
        <v>840</v>
      </c>
      <c r="F43" s="109" t="s">
        <v>840</v>
      </c>
      <c r="G43" s="109" t="s">
        <v>840</v>
      </c>
      <c r="H43" s="109" t="s">
        <v>840</v>
      </c>
      <c r="I43" s="109" t="s">
        <v>840</v>
      </c>
      <c r="J43" s="109" t="s">
        <v>840</v>
      </c>
    </row>
    <row r="44">
      <c r="A44" s="109" t="s">
        <v>750</v>
      </c>
      <c r="B44" s="120">
        <v>3</v>
      </c>
      <c r="C44" s="120">
        <v>3</v>
      </c>
      <c r="D44" s="121">
        <f t="shared" si="0"/>
      </c>
      <c r="E44" s="109" t="s">
        <v>840</v>
      </c>
      <c r="F44" s="109" t="s">
        <v>840</v>
      </c>
      <c r="G44" s="109" t="s">
        <v>840</v>
      </c>
      <c r="H44" s="109" t="s">
        <v>840</v>
      </c>
      <c r="I44" s="109" t="s">
        <v>840</v>
      </c>
      <c r="J44" s="109" t="s">
        <v>840</v>
      </c>
    </row>
    <row r="45">
      <c r="A45" s="109" t="s">
        <v>736</v>
      </c>
      <c r="B45" s="120">
        <v>2</v>
      </c>
      <c r="C45" s="120">
        <v>0</v>
      </c>
      <c r="D45" s="121">
        <f t="shared" si="0"/>
      </c>
      <c r="E45" s="109" t="s">
        <v>840</v>
      </c>
      <c r="F45" s="109" t="s">
        <v>840</v>
      </c>
      <c r="G45" s="109" t="s">
        <v>840</v>
      </c>
      <c r="H45" s="109" t="s">
        <v>840</v>
      </c>
      <c r="I45" s="109" t="s">
        <v>840</v>
      </c>
      <c r="J45" s="109" t="s">
        <v>840</v>
      </c>
    </row>
    <row r="46">
      <c r="A46" s="109" t="s">
        <v>767</v>
      </c>
      <c r="B46" s="120">
        <v>2</v>
      </c>
      <c r="C46" s="120">
        <v>2</v>
      </c>
      <c r="D46" s="121">
        <f t="shared" si="0"/>
      </c>
      <c r="E46" s="109" t="s">
        <v>840</v>
      </c>
      <c r="F46" s="109" t="s">
        <v>840</v>
      </c>
      <c r="G46" s="109" t="s">
        <v>840</v>
      </c>
      <c r="H46" s="109" t="s">
        <v>840</v>
      </c>
      <c r="I46" s="109" t="s">
        <v>840</v>
      </c>
      <c r="J46" s="109" t="s">
        <v>840</v>
      </c>
    </row>
    <row r="47">
      <c r="A47" s="109" t="s">
        <v>756</v>
      </c>
      <c r="B47" s="120">
        <v>2</v>
      </c>
      <c r="C47" s="120">
        <v>2</v>
      </c>
      <c r="D47" s="121">
        <f t="shared" si="0"/>
      </c>
      <c r="E47" s="109" t="s">
        <v>840</v>
      </c>
      <c r="F47" s="109" t="s">
        <v>840</v>
      </c>
      <c r="G47" s="109" t="s">
        <v>840</v>
      </c>
      <c r="H47" s="109" t="s">
        <v>840</v>
      </c>
      <c r="I47" s="109" t="s">
        <v>840</v>
      </c>
      <c r="J47" s="109" t="s">
        <v>840</v>
      </c>
    </row>
    <row r="48">
      <c r="A48" s="109" t="s">
        <v>762</v>
      </c>
      <c r="B48" s="120">
        <v>2</v>
      </c>
      <c r="C48" s="120">
        <v>2</v>
      </c>
      <c r="D48" s="121">
        <f t="shared" si="0"/>
      </c>
      <c r="E48" s="109" t="s">
        <v>840</v>
      </c>
      <c r="F48" s="109" t="s">
        <v>840</v>
      </c>
      <c r="G48" s="109" t="s">
        <v>840</v>
      </c>
      <c r="H48" s="109" t="s">
        <v>840</v>
      </c>
      <c r="I48" s="109" t="s">
        <v>840</v>
      </c>
      <c r="J48" s="109" t="s">
        <v>840</v>
      </c>
    </row>
    <row r="49">
      <c r="A49" s="109" t="s">
        <v>772</v>
      </c>
      <c r="B49" s="120">
        <v>2</v>
      </c>
      <c r="C49" s="120">
        <v>2</v>
      </c>
      <c r="D49" s="121">
        <f t="shared" si="0"/>
      </c>
      <c r="E49" s="109" t="s">
        <v>840</v>
      </c>
      <c r="F49" s="109" t="s">
        <v>840</v>
      </c>
      <c r="G49" s="109" t="s">
        <v>840</v>
      </c>
      <c r="H49" s="109" t="s">
        <v>840</v>
      </c>
      <c r="I49" s="109" t="s">
        <v>840</v>
      </c>
      <c r="J49" s="109" t="s">
        <v>840</v>
      </c>
    </row>
    <row r="50">
      <c r="A50" s="109" t="s">
        <v>784</v>
      </c>
      <c r="B50" s="120">
        <v>2</v>
      </c>
      <c r="C50" s="120">
        <v>2</v>
      </c>
      <c r="D50" s="121">
        <f t="shared" si="0"/>
      </c>
      <c r="E50" s="109" t="s">
        <v>840</v>
      </c>
      <c r="F50" s="109" t="s">
        <v>840</v>
      </c>
      <c r="G50" s="109" t="s">
        <v>840</v>
      </c>
      <c r="H50" s="109" t="s">
        <v>840</v>
      </c>
      <c r="I50" s="109" t="s">
        <v>840</v>
      </c>
      <c r="J50" s="109" t="s">
        <v>840</v>
      </c>
    </row>
    <row r="51">
      <c r="A51" s="109" t="s">
        <v>779</v>
      </c>
      <c r="B51" s="120">
        <v>2</v>
      </c>
      <c r="C51" s="120">
        <v>2</v>
      </c>
      <c r="D51" s="121">
        <f t="shared" si="0"/>
      </c>
      <c r="E51" s="109" t="s">
        <v>840</v>
      </c>
      <c r="F51" s="109" t="s">
        <v>840</v>
      </c>
      <c r="G51" s="109" t="s">
        <v>840</v>
      </c>
      <c r="H51" s="109" t="s">
        <v>840</v>
      </c>
      <c r="I51" s="109" t="s">
        <v>840</v>
      </c>
      <c r="J51" s="109" t="s">
        <v>840</v>
      </c>
    </row>
    <row r="52">
      <c r="A52" s="109" t="s">
        <v>743</v>
      </c>
      <c r="B52" s="120">
        <v>3</v>
      </c>
      <c r="C52" s="120">
        <v>3</v>
      </c>
      <c r="D52" s="121">
        <f t="shared" si="0"/>
      </c>
      <c r="E52" s="109" t="s">
        <v>840</v>
      </c>
      <c r="F52" s="109" t="s">
        <v>840</v>
      </c>
      <c r="G52" s="109" t="s">
        <v>840</v>
      </c>
      <c r="H52" s="109" t="s">
        <v>840</v>
      </c>
      <c r="I52" s="109" t="s">
        <v>840</v>
      </c>
      <c r="J52" s="109" t="s">
        <v>840</v>
      </c>
    </row>
    <row r="53">
      <c r="A53" s="109" t="s">
        <v>790</v>
      </c>
      <c r="B53" s="120">
        <v>2</v>
      </c>
      <c r="C53" s="120">
        <v>2</v>
      </c>
      <c r="D53" s="121">
        <f t="shared" si="0"/>
      </c>
      <c r="E53" s="109" t="s">
        <v>840</v>
      </c>
      <c r="F53" s="109" t="s">
        <v>840</v>
      </c>
      <c r="G53" s="109" t="s">
        <v>840</v>
      </c>
      <c r="H53" s="109" t="s">
        <v>840</v>
      </c>
      <c r="I53" s="109" t="s">
        <v>840</v>
      </c>
      <c r="J53" s="109" t="s">
        <v>840</v>
      </c>
    </row>
    <row r="54">
      <c r="A54" s="109" t="s">
        <v>856</v>
      </c>
      <c r="B54" s="120">
        <f>SUM(B42:B53)</f>
      </c>
      <c r="C54" s="120">
        <f>SUM(C42:C53)</f>
      </c>
      <c r="D54" s="121">
        <f>SUM(C42:C53)/SUM(B42:B53)</f>
      </c>
      <c r="E54" s="109" t="s">
        <v>840</v>
      </c>
      <c r="F54" s="109" t="s">
        <v>840</v>
      </c>
      <c r="G54" s="109" t="s">
        <v>840</v>
      </c>
      <c r="H54" s="109" t="s">
        <v>840</v>
      </c>
      <c r="I54" s="109" t="s">
        <v>840</v>
      </c>
      <c r="J54" s="109" t="s">
        <v>840</v>
      </c>
    </row>
    <row customHeight="true" ht="15.476190476190476" r="55">
      <c r="A55" s="118" t="s">
        <v>857</v>
      </c>
      <c r="B55" s="118"/>
      <c r="C55" s="118"/>
      <c r="D55" s="118"/>
      <c r="E55" s="118"/>
      <c r="F55" s="118"/>
      <c r="G55" s="118"/>
      <c r="H55" s="118"/>
      <c r="I55" s="118"/>
      <c r="J55" s="118"/>
    </row>
    <row customHeight="true" ht="16.666666666666668" r="56">
      <c r="A56" s="119" t="s">
        <v>858</v>
      </c>
      <c r="B56" s="119" t="s">
        <v>711</v>
      </c>
      <c r="C56" s="119" t="s">
        <v>859</v>
      </c>
      <c r="D56" s="119" t="s">
        <v>860</v>
      </c>
      <c r="E56" s="119" t="s">
        <v>717</v>
      </c>
      <c r="F56" s="119" t="s">
        <v>861</v>
      </c>
      <c r="G56" s="119" t="s">
        <v>862</v>
      </c>
      <c r="H56" s="119" t="s">
        <v>719</v>
      </c>
      <c r="I56" s="109" t="s">
        <v>840</v>
      </c>
      <c r="J56" s="109" t="s">
        <v>840</v>
      </c>
    </row>
    <row r="57">
      <c r="A57" s="109" t="s">
        <v>863</v>
      </c>
      <c r="B57" s="109" t="s">
        <v>721</v>
      </c>
      <c r="C57" s="120">
        <v>12</v>
      </c>
      <c r="D57" s="109" t="s">
        <v>864</v>
      </c>
      <c r="E57" s="120">
        <v>42</v>
      </c>
      <c r="F57" s="122">
        <v>1</v>
      </c>
      <c r="G57" s="109" t="s">
        <v>865</v>
      </c>
      <c r="H57" s="109" t="s">
        <v>866</v>
      </c>
      <c r="I57" s="109" t="s">
        <v>840</v>
      </c>
      <c r="J57" s="109" t="s">
        <v>840</v>
      </c>
    </row>
    <row r="58">
      <c r="A58" s="109" t="s">
        <v>863</v>
      </c>
      <c r="B58" s="109" t="s">
        <v>778</v>
      </c>
      <c r="C58" s="120">
        <v>10</v>
      </c>
      <c r="D58" s="109" t="s">
        <v>867</v>
      </c>
      <c r="E58" s="120">
        <v>36</v>
      </c>
      <c r="F58" s="122">
        <v>1</v>
      </c>
      <c r="G58" s="109" t="s">
        <v>865</v>
      </c>
      <c r="H58" s="109" t="s">
        <v>868</v>
      </c>
      <c r="I58" s="109" t="s">
        <v>840</v>
      </c>
      <c r="J58" s="109" t="s">
        <v>840</v>
      </c>
    </row>
    <row r="59">
      <c r="A59" s="109" t="s">
        <v>863</v>
      </c>
      <c r="B59" s="109" t="s">
        <v>816</v>
      </c>
      <c r="C59" s="120">
        <v>12</v>
      </c>
      <c r="D59" s="109" t="s">
        <v>869</v>
      </c>
      <c r="E59" s="120">
        <v>48</v>
      </c>
      <c r="F59" s="122">
        <v>1</v>
      </c>
      <c r="G59" s="109" t="s">
        <v>865</v>
      </c>
      <c r="H59" s="109" t="s">
        <v>870</v>
      </c>
      <c r="I59" s="109" t="s">
        <v>840</v>
      </c>
      <c r="J59" s="109" t="s">
        <v>840</v>
      </c>
    </row>
    <row r="60">
      <c r="A60" s="109" t="s">
        <v>871</v>
      </c>
      <c r="B60" s="109" t="s">
        <v>721</v>
      </c>
      <c r="C60" s="120">
        <v>6</v>
      </c>
      <c r="D60" s="109" t="s">
        <v>872</v>
      </c>
      <c r="E60" s="120">
        <v>28</v>
      </c>
      <c r="F60" s="122">
        <v>1</v>
      </c>
      <c r="G60" s="109" t="s">
        <v>865</v>
      </c>
      <c r="H60" s="109" t="s">
        <v>748</v>
      </c>
      <c r="I60" s="109" t="s">
        <v>840</v>
      </c>
      <c r="J60" s="109" t="s">
        <v>840</v>
      </c>
    </row>
    <row r="61">
      <c r="A61" s="109" t="s">
        <v>871</v>
      </c>
      <c r="B61" s="109" t="s">
        <v>778</v>
      </c>
      <c r="C61" s="120">
        <v>8</v>
      </c>
      <c r="D61" s="109" t="s">
        <v>873</v>
      </c>
      <c r="E61" s="120">
        <v>33</v>
      </c>
      <c r="F61" s="122">
        <v>0.95</v>
      </c>
      <c r="G61" s="109" t="s">
        <v>874</v>
      </c>
      <c r="H61" s="109" t="s">
        <v>875</v>
      </c>
      <c r="I61" s="109" t="s">
        <v>840</v>
      </c>
      <c r="J61" s="109" t="s">
        <v>840</v>
      </c>
    </row>
    <row r="62">
      <c r="A62" s="109" t="s">
        <v>876</v>
      </c>
      <c r="B62" s="109" t="s">
        <v>816</v>
      </c>
      <c r="C62" s="120">
        <v>15</v>
      </c>
      <c r="D62" s="109" t="s">
        <v>877</v>
      </c>
      <c r="E62" s="120">
        <v>58</v>
      </c>
      <c r="F62" s="122">
        <v>1</v>
      </c>
      <c r="G62" s="109" t="s">
        <v>865</v>
      </c>
      <c r="H62" s="109" t="s">
        <v>878</v>
      </c>
      <c r="I62" s="109" t="s">
        <v>840</v>
      </c>
      <c r="J62" s="109" t="s">
        <v>840</v>
      </c>
    </row>
  </sheetData>
  <mergeCells>
    <mergeCell ref="A1:J1"/>
    <mergeCell ref="A2:J2"/>
    <mergeCell ref="A3:J3"/>
    <mergeCell ref="A32:J32"/>
    <mergeCell ref="A40:J40"/>
    <mergeCell ref="A55:J55"/>
  </mergeCells>
  <pageMargins bottom="1" footer="0.5" header="0.5" left="0.75" right="0.75" top="1"/>
  <drawing r:id="rId1"/>
</worksheet>
</file>

<file path=xl/worksheets/sheet9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3" ySplit="2"/>
    </sheetView>
  </sheetViews>
  <sheetFormatPr defaultRowHeight="0"/>
  <cols>
    <col collapsed="false" customWidth="true" hidden="false" max="9" min="9" style="0" width="8.394366197183098"/>
    <col collapsed="false" customWidth="true" hidden="false" max="1" min="1" style="0" width="46.70422535211268"/>
    <col collapsed="false" customWidth="true" hidden="false" max="3" min="3" style="0" width="40.84507042253521"/>
    <col collapsed="false" customWidth="true" hidden="false" max="5" min="5" style="0" width="11.098591549295774"/>
    <col collapsed="false" customWidth="true" hidden="false" max="7" min="7" style="0" width="12"/>
    <col collapsed="false" customWidth="true" hidden="false" max="2" min="2" style="0" width="46.70422535211268"/>
    <col collapsed="false" customWidth="true" hidden="false" max="4" min="4" style="0" width="8.394366197183098"/>
    <col collapsed="false" customWidth="true" hidden="false" max="6" min="6" style="0" width="9.295774647887324"/>
    <col collapsed="false" customWidth="true" hidden="false" max="8" min="8" style="0" width="10.19718309859155"/>
  </cols>
  <sheetData>
    <row customHeight="true" ht="21.42857142857143" r="1">
      <c r="A1" s="123" t="s">
        <v>879</v>
      </c>
      <c r="B1" s="123"/>
      <c r="C1" s="123"/>
      <c r="D1" s="123"/>
      <c r="E1" s="123"/>
      <c r="F1" s="123"/>
      <c r="G1" s="123"/>
      <c r="H1" s="123"/>
      <c r="I1" s="123"/>
    </row>
    <row customHeight="true" ht="13.095238095238095" r="2">
      <c r="A2" s="124" t="s">
        <v>880</v>
      </c>
      <c r="B2" s="124"/>
      <c r="C2" s="124"/>
      <c r="D2" s="124"/>
      <c r="E2" s="124"/>
      <c r="F2" s="124"/>
      <c r="G2" s="124"/>
      <c r="H2" s="124"/>
      <c r="I2" s="124"/>
    </row>
    <row customHeight="true" ht="15.476190476190476" r="3">
      <c r="A3" s="125" t="s">
        <v>881</v>
      </c>
      <c r="B3" s="125"/>
      <c r="C3" s="125"/>
      <c r="D3" s="125"/>
      <c r="E3" s="125"/>
      <c r="F3" s="125"/>
      <c r="G3" s="125"/>
      <c r="H3" s="125"/>
      <c r="I3" s="125"/>
    </row>
    <row customHeight="true" ht="16.666666666666668" r="4">
      <c r="A4" s="126" t="s">
        <v>882</v>
      </c>
      <c r="B4" s="126" t="s">
        <v>883</v>
      </c>
      <c r="C4" s="127" t="s">
        <v>884</v>
      </c>
      <c r="D4" s="127" t="s">
        <v>884</v>
      </c>
      <c r="E4" s="127" t="s">
        <v>884</v>
      </c>
      <c r="F4" s="127" t="s">
        <v>884</v>
      </c>
      <c r="G4" s="127" t="s">
        <v>884</v>
      </c>
      <c r="H4" s="127" t="s">
        <v>884</v>
      </c>
      <c r="I4" s="127" t="s">
        <v>884</v>
      </c>
    </row>
    <row r="5">
      <c r="A5" s="128" t="s">
        <v>885</v>
      </c>
      <c r="B5" s="129" t="s">
        <v>886</v>
      </c>
      <c r="C5" s="127" t="s">
        <v>884</v>
      </c>
      <c r="D5" s="127" t="s">
        <v>884</v>
      </c>
      <c r="E5" s="127" t="s">
        <v>884</v>
      </c>
      <c r="F5" s="127" t="s">
        <v>884</v>
      </c>
      <c r="G5" s="127" t="s">
        <v>884</v>
      </c>
      <c r="H5" s="127" t="s">
        <v>884</v>
      </c>
      <c r="I5" s="127" t="s">
        <v>884</v>
      </c>
    </row>
    <row r="6">
      <c r="A6" s="128" t="s">
        <v>887</v>
      </c>
      <c r="B6" s="129" t="s">
        <v>888</v>
      </c>
      <c r="C6" s="127" t="s">
        <v>884</v>
      </c>
      <c r="D6" s="127" t="s">
        <v>884</v>
      </c>
      <c r="E6" s="127" t="s">
        <v>884</v>
      </c>
      <c r="F6" s="127" t="s">
        <v>884</v>
      </c>
      <c r="G6" s="127" t="s">
        <v>884</v>
      </c>
      <c r="H6" s="127" t="s">
        <v>884</v>
      </c>
      <c r="I6" s="127" t="s">
        <v>884</v>
      </c>
    </row>
    <row r="7">
      <c r="A7" s="128" t="s">
        <v>889</v>
      </c>
      <c r="B7" s="128" t="s">
        <v>890</v>
      </c>
      <c r="C7" s="127" t="s">
        <v>884</v>
      </c>
      <c r="D7" s="127" t="s">
        <v>884</v>
      </c>
      <c r="E7" s="127" t="s">
        <v>884</v>
      </c>
      <c r="F7" s="127" t="s">
        <v>884</v>
      </c>
      <c r="G7" s="127" t="s">
        <v>884</v>
      </c>
      <c r="H7" s="127" t="s">
        <v>884</v>
      </c>
      <c r="I7" s="127" t="s">
        <v>884</v>
      </c>
    </row>
    <row r="8">
      <c r="A8" s="128" t="s">
        <v>891</v>
      </c>
      <c r="B8" s="129" t="s">
        <v>892</v>
      </c>
      <c r="C8" s="127" t="s">
        <v>884</v>
      </c>
      <c r="D8" s="127" t="s">
        <v>884</v>
      </c>
      <c r="E8" s="127" t="s">
        <v>884</v>
      </c>
      <c r="F8" s="127" t="s">
        <v>884</v>
      </c>
      <c r="G8" s="127" t="s">
        <v>884</v>
      </c>
      <c r="H8" s="127" t="s">
        <v>884</v>
      </c>
      <c r="I8" s="127" t="s">
        <v>884</v>
      </c>
    </row>
    <row r="9">
      <c r="A9" s="128" t="s">
        <v>893</v>
      </c>
      <c r="B9" s="129" t="s">
        <v>894</v>
      </c>
      <c r="C9" s="127" t="s">
        <v>884</v>
      </c>
      <c r="D9" s="127" t="s">
        <v>884</v>
      </c>
      <c r="E9" s="127" t="s">
        <v>884</v>
      </c>
      <c r="F9" s="127" t="s">
        <v>884</v>
      </c>
      <c r="G9" s="127" t="s">
        <v>884</v>
      </c>
      <c r="H9" s="127" t="s">
        <v>884</v>
      </c>
      <c r="I9" s="127" t="s">
        <v>884</v>
      </c>
    </row>
    <row customHeight="true" ht="15.476190476190476" r="10">
      <c r="A10" s="130" t="s">
        <v>895</v>
      </c>
      <c r="B10" s="130"/>
      <c r="C10" s="130"/>
      <c r="D10" s="130"/>
      <c r="E10" s="130"/>
      <c r="F10" s="130"/>
      <c r="G10" s="130"/>
      <c r="H10" s="130"/>
      <c r="I10" s="130"/>
    </row>
    <row customHeight="true" ht="16.666666666666668" r="11">
      <c r="A11" s="126" t="s">
        <v>896</v>
      </c>
      <c r="B11" s="131" t="s">
        <v>897</v>
      </c>
      <c r="C11" s="131" t="s">
        <v>898</v>
      </c>
      <c r="D11" s="131" t="s">
        <v>899</v>
      </c>
      <c r="E11" s="131" t="s">
        <v>900</v>
      </c>
      <c r="F11" s="131" t="s">
        <v>901</v>
      </c>
      <c r="G11" s="131" t="s">
        <v>902</v>
      </c>
      <c r="H11" s="131" t="s">
        <v>903</v>
      </c>
      <c r="I11" s="131" t="s">
        <v>904</v>
      </c>
    </row>
    <row customHeight="true" ht="22" r="12">
      <c r="A12" s="126" t="s">
        <v>905</v>
      </c>
      <c r="B12" s="126" t="s">
        <v>906</v>
      </c>
      <c r="C12" s="126" t="s">
        <v>907</v>
      </c>
      <c r="D12" s="126" t="s">
        <v>908</v>
      </c>
      <c r="E12" s="126" t="s">
        <v>909</v>
      </c>
      <c r="F12" s="126" t="s">
        <v>910</v>
      </c>
      <c r="G12" s="132">
        <v>4.2</v>
      </c>
      <c r="H12" s="126" t="s">
        <v>911</v>
      </c>
      <c r="I12" s="133" t="s">
        <v>912</v>
      </c>
    </row>
    <row r="13">
      <c r="A13" s="129" t="s">
        <v>905</v>
      </c>
      <c r="B13" s="129" t="s">
        <v>913</v>
      </c>
      <c r="C13" s="128" t="s">
        <v>914</v>
      </c>
      <c r="D13" s="128" t="s">
        <v>915</v>
      </c>
      <c r="E13" s="129" t="s">
        <v>916</v>
      </c>
      <c r="F13" s="129" t="s">
        <v>917</v>
      </c>
      <c r="G13" s="134">
        <v>4.5</v>
      </c>
      <c r="H13" s="129" t="s">
        <v>911</v>
      </c>
      <c r="I13" s="135" t="s">
        <v>912</v>
      </c>
    </row>
    <row r="14">
      <c r="A14" s="129" t="s">
        <v>905</v>
      </c>
      <c r="B14" s="129" t="s">
        <v>918</v>
      </c>
      <c r="C14" s="128" t="s">
        <v>919</v>
      </c>
      <c r="D14" s="128" t="s">
        <v>920</v>
      </c>
      <c r="E14" s="129" t="s">
        <v>921</v>
      </c>
      <c r="F14" s="129" t="s">
        <v>922</v>
      </c>
      <c r="G14" s="134">
        <v>4.3</v>
      </c>
      <c r="H14" s="129" t="s">
        <v>911</v>
      </c>
      <c r="I14" s="135" t="s">
        <v>912</v>
      </c>
    </row>
    <row r="15">
      <c r="A15" s="129" t="s">
        <v>905</v>
      </c>
      <c r="B15" s="129" t="s">
        <v>923</v>
      </c>
      <c r="C15" s="128" t="s">
        <v>924</v>
      </c>
      <c r="D15" s="128" t="s">
        <v>925</v>
      </c>
      <c r="E15" s="129" t="s">
        <v>926</v>
      </c>
      <c r="F15" s="129" t="s">
        <v>927</v>
      </c>
      <c r="G15" s="134">
        <v>4.8</v>
      </c>
      <c r="H15" s="129" t="s">
        <v>928</v>
      </c>
      <c r="I15" s="135" t="s">
        <v>912</v>
      </c>
    </row>
    <row r="16">
      <c r="A16" s="129" t="s">
        <v>905</v>
      </c>
      <c r="B16" s="129" t="s">
        <v>929</v>
      </c>
      <c r="C16" s="128" t="s">
        <v>930</v>
      </c>
      <c r="D16" s="128" t="s">
        <v>931</v>
      </c>
      <c r="E16" s="129" t="s">
        <v>932</v>
      </c>
      <c r="F16" s="129" t="s">
        <v>933</v>
      </c>
      <c r="G16" s="134">
        <v>4.1</v>
      </c>
      <c r="H16" s="129" t="s">
        <v>911</v>
      </c>
      <c r="I16" s="135" t="s">
        <v>912</v>
      </c>
    </row>
    <row r="17">
      <c r="A17" s="129" t="s">
        <v>905</v>
      </c>
      <c r="B17" s="129" t="s">
        <v>934</v>
      </c>
      <c r="C17" s="128" t="s">
        <v>935</v>
      </c>
      <c r="D17" s="128" t="s">
        <v>936</v>
      </c>
      <c r="E17" s="129" t="s">
        <v>937</v>
      </c>
      <c r="F17" s="129" t="s">
        <v>938</v>
      </c>
      <c r="G17" s="134">
        <v>4.4</v>
      </c>
      <c r="H17" s="129" t="s">
        <v>911</v>
      </c>
      <c r="I17" s="135" t="s">
        <v>912</v>
      </c>
    </row>
    <row r="18">
      <c r="A18" s="129" t="s">
        <v>905</v>
      </c>
      <c r="B18" s="129" t="s">
        <v>939</v>
      </c>
      <c r="C18" s="128" t="s">
        <v>940</v>
      </c>
      <c r="D18" s="128" t="s">
        <v>941</v>
      </c>
      <c r="E18" s="129" t="s">
        <v>942</v>
      </c>
      <c r="F18" s="129" t="s">
        <v>943</v>
      </c>
      <c r="G18" s="134">
        <v>4.3</v>
      </c>
      <c r="H18" s="129" t="s">
        <v>911</v>
      </c>
      <c r="I18" s="135" t="s">
        <v>912</v>
      </c>
    </row>
    <row r="19">
      <c r="A19" s="129" t="s">
        <v>905</v>
      </c>
      <c r="B19" s="129" t="s">
        <v>944</v>
      </c>
      <c r="C19" s="128" t="s">
        <v>945</v>
      </c>
      <c r="D19" s="128" t="s">
        <v>946</v>
      </c>
      <c r="E19" s="129" t="s">
        <v>947</v>
      </c>
      <c r="F19" s="129" t="s">
        <v>948</v>
      </c>
      <c r="G19" s="134">
        <v>5.1</v>
      </c>
      <c r="H19" s="129" t="s">
        <v>928</v>
      </c>
      <c r="I19" s="135" t="s">
        <v>912</v>
      </c>
    </row>
    <row r="20">
      <c r="A20" s="129" t="s">
        <v>905</v>
      </c>
      <c r="B20" s="129" t="s">
        <v>949</v>
      </c>
      <c r="C20" s="128" t="s">
        <v>950</v>
      </c>
      <c r="D20" s="128" t="s">
        <v>951</v>
      </c>
      <c r="E20" s="128" t="s">
        <v>952</v>
      </c>
      <c r="F20" s="129" t="s">
        <v>953</v>
      </c>
      <c r="G20" s="134">
        <v>4.6</v>
      </c>
      <c r="H20" s="129" t="s">
        <v>911</v>
      </c>
      <c r="I20" s="135" t="s">
        <v>912</v>
      </c>
    </row>
    <row r="21">
      <c r="A21" s="129" t="s">
        <v>905</v>
      </c>
      <c r="B21" s="129" t="s">
        <v>954</v>
      </c>
      <c r="C21" s="128" t="s">
        <v>955</v>
      </c>
      <c r="D21" s="129" t="s">
        <v>956</v>
      </c>
      <c r="E21" s="129" t="s">
        <v>957</v>
      </c>
      <c r="F21" s="129" t="s">
        <v>958</v>
      </c>
      <c r="G21" s="134">
        <v>4.9</v>
      </c>
      <c r="H21" s="129" t="s">
        <v>928</v>
      </c>
      <c r="I21" s="136" t="s">
        <v>959</v>
      </c>
    </row>
    <row r="22">
      <c r="A22" s="129" t="s">
        <v>960</v>
      </c>
      <c r="B22" s="129" t="s">
        <v>906</v>
      </c>
      <c r="C22" s="128" t="s">
        <v>907</v>
      </c>
      <c r="D22" s="128" t="s">
        <v>908</v>
      </c>
      <c r="E22" s="129" t="s">
        <v>909</v>
      </c>
      <c r="F22" s="129" t="s">
        <v>910</v>
      </c>
      <c r="G22" s="134">
        <v>4.3</v>
      </c>
      <c r="H22" s="129" t="s">
        <v>911</v>
      </c>
      <c r="I22" s="135" t="s">
        <v>912</v>
      </c>
    </row>
    <row r="23">
      <c r="A23" s="127" t="s">
        <v>960</v>
      </c>
      <c r="B23" s="127" t="s">
        <v>918</v>
      </c>
      <c r="C23" s="127" t="s">
        <v>919</v>
      </c>
      <c r="D23" s="127" t="s">
        <v>920</v>
      </c>
      <c r="E23" s="127" t="s">
        <v>921</v>
      </c>
      <c r="F23" s="127" t="s">
        <v>922</v>
      </c>
      <c r="G23" s="137">
        <v>4.4</v>
      </c>
      <c r="H23" s="127" t="s">
        <v>911</v>
      </c>
      <c r="I23" s="138" t="s">
        <v>912</v>
      </c>
    </row>
    <row customHeight="true" ht="20" r="24">
      <c r="A24" s="125" t="s">
        <v>960</v>
      </c>
      <c r="B24" s="127" t="s">
        <v>923</v>
      </c>
      <c r="C24" s="127" t="s">
        <v>924</v>
      </c>
      <c r="D24" s="127" t="s">
        <v>925</v>
      </c>
      <c r="E24" s="127" t="s">
        <v>926</v>
      </c>
      <c r="F24" s="127" t="s">
        <v>927</v>
      </c>
      <c r="G24" s="137">
        <v>4.7</v>
      </c>
      <c r="H24" s="127" t="s">
        <v>928</v>
      </c>
      <c r="I24" s="138" t="s">
        <v>912</v>
      </c>
    </row>
    <row customHeight="true" ht="22" r="25">
      <c r="A25" s="126" t="s">
        <v>960</v>
      </c>
      <c r="B25" s="126" t="s">
        <v>934</v>
      </c>
      <c r="C25" s="126" t="s">
        <v>935</v>
      </c>
      <c r="D25" s="127" t="s">
        <v>936</v>
      </c>
      <c r="E25" s="127" t="s">
        <v>937</v>
      </c>
      <c r="F25" s="127" t="s">
        <v>938</v>
      </c>
      <c r="G25" s="137">
        <v>4.2</v>
      </c>
      <c r="H25" s="127" t="s">
        <v>911</v>
      </c>
      <c r="I25" s="138" t="s">
        <v>912</v>
      </c>
    </row>
    <row r="26">
      <c r="A26" s="128" t="s">
        <v>960</v>
      </c>
      <c r="B26" s="139" t="s">
        <v>939</v>
      </c>
      <c r="C26" s="129" t="s">
        <v>940</v>
      </c>
      <c r="D26" s="127" t="s">
        <v>941</v>
      </c>
      <c r="E26" s="127" t="s">
        <v>942</v>
      </c>
      <c r="F26" s="127" t="s">
        <v>943</v>
      </c>
      <c r="G26" s="137">
        <v>4.5</v>
      </c>
      <c r="H26" s="127" t="s">
        <v>911</v>
      </c>
      <c r="I26" s="138" t="s">
        <v>912</v>
      </c>
    </row>
    <row r="27">
      <c r="A27" s="129" t="s">
        <v>960</v>
      </c>
      <c r="B27" s="140" t="s">
        <v>949</v>
      </c>
      <c r="C27" s="129" t="s">
        <v>950</v>
      </c>
      <c r="D27" s="127" t="s">
        <v>951</v>
      </c>
      <c r="E27" s="127" t="s">
        <v>952</v>
      </c>
      <c r="F27" s="127" t="s">
        <v>953</v>
      </c>
      <c r="G27" s="137">
        <v>4.8</v>
      </c>
      <c r="H27" s="127" t="s">
        <v>911</v>
      </c>
      <c r="I27" s="138" t="s">
        <v>912</v>
      </c>
    </row>
    <row r="28">
      <c r="A28" s="129" t="s">
        <v>960</v>
      </c>
      <c r="B28" s="141" t="s">
        <v>929</v>
      </c>
      <c r="C28" s="128" t="s">
        <v>930</v>
      </c>
      <c r="D28" s="127" t="s">
        <v>931</v>
      </c>
      <c r="E28" s="127" t="s">
        <v>932</v>
      </c>
      <c r="F28" s="127" t="s">
        <v>933</v>
      </c>
      <c r="G28" s="137">
        <v>4.1</v>
      </c>
      <c r="H28" s="127" t="s">
        <v>911</v>
      </c>
      <c r="I28" s="138" t="s">
        <v>912</v>
      </c>
    </row>
    <row r="29">
      <c r="A29" s="127" t="s">
        <v>960</v>
      </c>
      <c r="B29" s="127" t="s">
        <v>944</v>
      </c>
      <c r="C29" s="127" t="s">
        <v>945</v>
      </c>
      <c r="D29" s="127" t="s">
        <v>946</v>
      </c>
      <c r="E29" s="127" t="s">
        <v>947</v>
      </c>
      <c r="F29" s="127" t="s">
        <v>948</v>
      </c>
      <c r="G29" s="137">
        <v>5</v>
      </c>
      <c r="H29" s="127" t="s">
        <v>928</v>
      </c>
      <c r="I29" s="138" t="s">
        <v>912</v>
      </c>
    </row>
    <row r="30">
      <c r="A30" s="127" t="s">
        <v>960</v>
      </c>
      <c r="B30" s="127" t="s">
        <v>954</v>
      </c>
      <c r="C30" s="127" t="s">
        <v>955</v>
      </c>
      <c r="D30" s="127" t="s">
        <v>956</v>
      </c>
      <c r="E30" s="127" t="s">
        <v>957</v>
      </c>
      <c r="F30" s="127" t="s">
        <v>958</v>
      </c>
      <c r="G30" s="137">
        <v>4.9</v>
      </c>
      <c r="H30" s="127" t="s">
        <v>928</v>
      </c>
      <c r="I30" s="138" t="s">
        <v>912</v>
      </c>
    </row>
    <row r="31">
      <c r="A31" s="127" t="s">
        <v>960</v>
      </c>
      <c r="B31" s="127" t="s">
        <v>913</v>
      </c>
      <c r="C31" s="127" t="s">
        <v>914</v>
      </c>
      <c r="D31" s="127" t="s">
        <v>915</v>
      </c>
      <c r="E31" s="127" t="s">
        <v>916</v>
      </c>
      <c r="F31" s="127" t="s">
        <v>917</v>
      </c>
      <c r="G31" s="137">
        <v>4.6</v>
      </c>
      <c r="H31" s="127" t="s">
        <v>911</v>
      </c>
      <c r="I31" s="138" t="s">
        <v>912</v>
      </c>
    </row>
    <row customHeight="true" ht="15.476190476190476" r="32">
      <c r="A32" s="130" t="s">
        <v>961</v>
      </c>
      <c r="B32" s="130"/>
      <c r="C32" s="130"/>
      <c r="D32" s="130"/>
      <c r="E32" s="130"/>
      <c r="F32" s="130"/>
      <c r="G32" s="130"/>
      <c r="H32" s="130"/>
      <c r="I32" s="130"/>
    </row>
    <row customHeight="true" ht="16.666666666666668" r="33">
      <c r="A33" s="131" t="s">
        <v>962</v>
      </c>
      <c r="B33" s="131" t="s">
        <v>963</v>
      </c>
      <c r="C33" s="131" t="s">
        <v>964</v>
      </c>
      <c r="D33" s="127" t="s">
        <v>884</v>
      </c>
      <c r="E33" s="127" t="s">
        <v>884</v>
      </c>
      <c r="F33" s="127" t="s">
        <v>884</v>
      </c>
      <c r="G33" s="127" t="s">
        <v>884</v>
      </c>
      <c r="H33" s="127" t="s">
        <v>884</v>
      </c>
      <c r="I33" s="127" t="s">
        <v>884</v>
      </c>
    </row>
    <row r="34">
      <c r="A34" s="127" t="s">
        <v>965</v>
      </c>
      <c r="B34" s="142">
        <f>COUNTA(B12:B31)</f>
      </c>
      <c r="C34" s="127" t="s">
        <v>966</v>
      </c>
      <c r="D34" s="127" t="s">
        <v>884</v>
      </c>
      <c r="E34" s="127" t="s">
        <v>884</v>
      </c>
      <c r="F34" s="127" t="s">
        <v>884</v>
      </c>
      <c r="G34" s="127" t="s">
        <v>884</v>
      </c>
      <c r="H34" s="127" t="s">
        <v>884</v>
      </c>
      <c r="I34" s="127" t="s">
        <v>884</v>
      </c>
    </row>
    <row r="35">
      <c r="A35" s="127" t="s">
        <v>967</v>
      </c>
      <c r="B35" s="143">
        <f>COUNTIF(I12:I31,"成功")/COUNTA(B12:B31)</f>
      </c>
      <c r="C35" s="127" t="s">
        <v>968</v>
      </c>
      <c r="D35" s="127" t="s">
        <v>884</v>
      </c>
      <c r="E35" s="127" t="s">
        <v>884</v>
      </c>
      <c r="F35" s="127" t="s">
        <v>884</v>
      </c>
      <c r="G35" s="127" t="s">
        <v>884</v>
      </c>
      <c r="H35" s="127" t="s">
        <v>884</v>
      </c>
      <c r="I35" s="127" t="s">
        <v>884</v>
      </c>
    </row>
    <row r="36">
      <c r="A36" s="127" t="s">
        <v>969</v>
      </c>
      <c r="B36" s="137">
        <f>ROUND(AVERAGE(G12:G31),2)</f>
      </c>
      <c r="C36" s="127" t="s">
        <v>970</v>
      </c>
      <c r="D36" s="127" t="s">
        <v>884</v>
      </c>
      <c r="E36" s="127" t="s">
        <v>884</v>
      </c>
      <c r="F36" s="127" t="s">
        <v>884</v>
      </c>
      <c r="G36" s="127" t="s">
        <v>884</v>
      </c>
      <c r="H36" s="127" t="s">
        <v>884</v>
      </c>
      <c r="I36" s="127" t="s">
        <v>884</v>
      </c>
    </row>
    <row r="37">
      <c r="A37" s="127" t="s">
        <v>971</v>
      </c>
      <c r="B37" s="137">
        <f>ROUND(PERCENTILE(G12:G31,0.95),2)</f>
      </c>
      <c r="C37" s="127" t="s">
        <v>972</v>
      </c>
      <c r="D37" s="127" t="s">
        <v>884</v>
      </c>
      <c r="E37" s="127" t="s">
        <v>884</v>
      </c>
      <c r="F37" s="127" t="s">
        <v>884</v>
      </c>
      <c r="G37" s="127" t="s">
        <v>884</v>
      </c>
      <c r="H37" s="127" t="s">
        <v>884</v>
      </c>
      <c r="I37" s="127" t="s">
        <v>884</v>
      </c>
    </row>
    <row r="38">
      <c r="A38" s="127" t="s">
        <v>973</v>
      </c>
      <c r="B38" s="127" t="s">
        <v>974</v>
      </c>
      <c r="C38" s="127" t="s">
        <v>975</v>
      </c>
      <c r="D38" s="127" t="s">
        <v>884</v>
      </c>
      <c r="E38" s="127" t="s">
        <v>884</v>
      </c>
      <c r="F38" s="127" t="s">
        <v>884</v>
      </c>
      <c r="G38" s="127" t="s">
        <v>884</v>
      </c>
      <c r="H38" s="127" t="s">
        <v>884</v>
      </c>
      <c r="I38" s="127" t="s">
        <v>884</v>
      </c>
    </row>
    <row r="39">
      <c r="A39" s="127" t="s">
        <v>976</v>
      </c>
      <c r="B39" s="127" t="s">
        <v>977</v>
      </c>
      <c r="C39" s="127" t="s">
        <v>975</v>
      </c>
      <c r="D39" s="127" t="s">
        <v>884</v>
      </c>
      <c r="E39" s="127" t="s">
        <v>884</v>
      </c>
      <c r="F39" s="127" t="s">
        <v>884</v>
      </c>
      <c r="G39" s="127" t="s">
        <v>884</v>
      </c>
      <c r="H39" s="127" t="s">
        <v>884</v>
      </c>
      <c r="I39" s="127" t="s">
        <v>884</v>
      </c>
    </row>
    <row customHeight="true" ht="15.476190476190476" r="40">
      <c r="A40" s="144" t="s">
        <v>978</v>
      </c>
      <c r="B40" s="144"/>
      <c r="C40" s="144"/>
      <c r="D40" s="144"/>
      <c r="E40" s="144"/>
      <c r="F40" s="144"/>
      <c r="G40" s="144"/>
      <c r="H40" s="144"/>
      <c r="I40" s="144"/>
    </row>
    <row customHeight="true" ht="15.476190476190476" r="41">
      <c r="A41" s="145" t="s">
        <v>979</v>
      </c>
      <c r="B41" s="145" t="s">
        <v>980</v>
      </c>
      <c r="C41" s="145" t="s">
        <v>981</v>
      </c>
      <c r="D41" s="145" t="s">
        <v>982</v>
      </c>
      <c r="E41" s="145" t="s">
        <v>983</v>
      </c>
      <c r="F41" s="145" t="s">
        <v>902</v>
      </c>
      <c r="G41" s="145" t="s">
        <v>984</v>
      </c>
      <c r="H41" s="145" t="s">
        <v>985</v>
      </c>
      <c r="I41" s="145"/>
    </row>
    <row r="42">
      <c r="A42" s="146" t="s">
        <v>986</v>
      </c>
      <c r="B42" s="147">
        <v>1.42</v>
      </c>
      <c r="C42" s="146" t="s">
        <v>987</v>
      </c>
      <c r="D42" s="148">
        <v>92400</v>
      </c>
      <c r="E42" s="149">
        <v>0.852</v>
      </c>
      <c r="F42" s="147">
        <v>4.2</v>
      </c>
      <c r="G42" s="146" t="s">
        <v>988</v>
      </c>
      <c r="H42" s="146" t="s">
        <v>989</v>
      </c>
      <c r="I42" s="146"/>
    </row>
    <row r="43">
      <c r="A43" s="146" t="s">
        <v>990</v>
      </c>
      <c r="B43" s="147">
        <v>1.83</v>
      </c>
      <c r="C43" s="146" t="s">
        <v>991</v>
      </c>
      <c r="D43" s="148">
        <v>66300</v>
      </c>
      <c r="E43" s="149">
        <v>0.95</v>
      </c>
      <c r="F43" s="147">
        <v>4.63</v>
      </c>
      <c r="G43" s="146" t="s">
        <v>992</v>
      </c>
      <c r="H43" s="146" t="s">
        <v>993</v>
      </c>
      <c r="I43" s="146"/>
    </row>
    <row r="44">
      <c r="A44" s="146" t="s">
        <v>994</v>
      </c>
      <c r="B44" s="147">
        <v>2.6</v>
      </c>
      <c r="C44" s="146" t="s">
        <v>995</v>
      </c>
      <c r="D44" s="148">
        <v>454798</v>
      </c>
      <c r="E44" s="149">
        <v>0.983</v>
      </c>
      <c r="F44" s="147">
        <v>5.1</v>
      </c>
      <c r="G44" s="146" t="s">
        <v>996</v>
      </c>
      <c r="H44" s="146" t="s">
        <v>997</v>
      </c>
      <c r="I44" s="146"/>
    </row>
    <row customHeight="true" ht="15.476190476190476" r="45">
      <c r="A45" s="150" t="s">
        <v>998</v>
      </c>
      <c r="B45" s="150"/>
      <c r="C45" s="150"/>
      <c r="D45" s="150"/>
      <c r="E45" s="150"/>
      <c r="F45" s="150"/>
      <c r="G45" s="150"/>
      <c r="H45" s="150"/>
      <c r="I45" s="150"/>
    </row>
    <row customHeight="true" ht="15.476190476190476" r="46">
      <c r="A46" s="145" t="s">
        <v>999</v>
      </c>
      <c r="B46" s="145" t="s">
        <v>1000</v>
      </c>
      <c r="C46" s="145" t="s">
        <v>1001</v>
      </c>
      <c r="D46" s="145" t="s">
        <v>985</v>
      </c>
      <c r="E46" s="145"/>
      <c r="F46" s="145"/>
      <c r="G46" s="145"/>
      <c r="H46" s="145"/>
      <c r="I46" s="145"/>
    </row>
    <row r="47">
      <c r="A47" s="146" t="s">
        <v>1002</v>
      </c>
      <c r="B47" s="147">
        <v>0.6</v>
      </c>
      <c r="C47" s="149">
        <v>0.13</v>
      </c>
      <c r="D47" s="146" t="s">
        <v>1003</v>
      </c>
      <c r="E47" s="146"/>
      <c r="F47" s="146"/>
      <c r="G47" s="146"/>
      <c r="H47" s="146"/>
      <c r="I47" s="146"/>
    </row>
    <row r="48">
      <c r="A48" s="146" t="s">
        <v>1004</v>
      </c>
      <c r="B48" s="147">
        <v>1.8</v>
      </c>
      <c r="C48" s="149">
        <v>0.389</v>
      </c>
      <c r="D48" s="146" t="s">
        <v>1005</v>
      </c>
      <c r="E48" s="146"/>
      <c r="F48" s="146"/>
      <c r="G48" s="146"/>
      <c r="H48" s="146"/>
      <c r="I48" s="146"/>
    </row>
    <row r="49">
      <c r="A49" s="146" t="s">
        <v>1006</v>
      </c>
      <c r="B49" s="147">
        <v>0.7</v>
      </c>
      <c r="C49" s="149">
        <v>0.151</v>
      </c>
      <c r="D49" s="146" t="s">
        <v>1007</v>
      </c>
      <c r="E49" s="146"/>
      <c r="F49" s="146"/>
      <c r="G49" s="146"/>
      <c r="H49" s="146"/>
      <c r="I49" s="146"/>
    </row>
    <row r="50">
      <c r="A50" s="146" t="s">
        <v>1008</v>
      </c>
      <c r="B50" s="147">
        <v>1.5</v>
      </c>
      <c r="C50" s="149">
        <v>0.324</v>
      </c>
      <c r="D50" s="146" t="s">
        <v>1009</v>
      </c>
      <c r="E50" s="146"/>
      <c r="F50" s="146"/>
      <c r="G50" s="146"/>
      <c r="H50" s="146"/>
      <c r="I50" s="146"/>
    </row>
    <row r="51">
      <c r="A51" s="146" t="s">
        <v>1010</v>
      </c>
      <c r="B51" s="147">
        <f>ROUND(SUM(B47:B50),2)</f>
      </c>
      <c r="C51" s="149">
        <f>ROUND(SUM(B47:B50)/B51,2)</f>
      </c>
      <c r="D51" s="146" t="s">
        <v>1011</v>
      </c>
      <c r="E51" s="146"/>
      <c r="F51" s="146"/>
      <c r="G51" s="146"/>
      <c r="H51" s="146"/>
      <c r="I51" s="146"/>
    </row>
    <row customHeight="true" ht="15.476190476190476" r="52">
      <c r="A52" s="150" t="s">
        <v>1012</v>
      </c>
      <c r="B52" s="150"/>
      <c r="C52" s="150"/>
      <c r="D52" s="150"/>
      <c r="E52" s="150"/>
      <c r="F52" s="150"/>
      <c r="G52" s="150"/>
      <c r="H52" s="150"/>
      <c r="I52" s="150"/>
    </row>
    <row customHeight="true" ht="15.476190476190476" r="53">
      <c r="A53" s="145" t="s">
        <v>1013</v>
      </c>
      <c r="B53" s="145" t="s">
        <v>1014</v>
      </c>
      <c r="C53" s="145" t="s">
        <v>1015</v>
      </c>
      <c r="D53" s="145" t="s">
        <v>1016</v>
      </c>
      <c r="E53" s="145"/>
      <c r="F53" s="145"/>
      <c r="G53" s="145"/>
      <c r="H53" s="145"/>
      <c r="I53" s="145"/>
    </row>
    <row r="54">
      <c r="A54" s="146" t="s">
        <v>1017</v>
      </c>
      <c r="B54" s="146" t="s">
        <v>1018</v>
      </c>
      <c r="C54" s="146" t="s">
        <v>1019</v>
      </c>
      <c r="D54" s="146" t="s">
        <v>1020</v>
      </c>
      <c r="E54" s="146"/>
      <c r="F54" s="146"/>
      <c r="G54" s="146"/>
      <c r="H54" s="146"/>
      <c r="I54" s="146"/>
    </row>
    <row r="55">
      <c r="A55" s="146" t="s">
        <v>1021</v>
      </c>
      <c r="B55" s="146" t="s">
        <v>1022</v>
      </c>
      <c r="C55" s="146" t="s">
        <v>1023</v>
      </c>
      <c r="D55" s="146" t="s">
        <v>1024</v>
      </c>
      <c r="E55" s="146"/>
      <c r="F55" s="146"/>
      <c r="G55" s="146"/>
      <c r="H55" s="146"/>
      <c r="I55" s="146"/>
    </row>
    <row r="56">
      <c r="A56" s="146" t="s">
        <v>1025</v>
      </c>
      <c r="B56" s="146" t="s">
        <v>1026</v>
      </c>
      <c r="C56" s="146" t="s">
        <v>1027</v>
      </c>
      <c r="D56" s="146" t="s">
        <v>912</v>
      </c>
      <c r="E56" s="146"/>
      <c r="F56" s="146"/>
      <c r="G56" s="146"/>
      <c r="H56" s="146"/>
      <c r="I56" s="146"/>
    </row>
    <row r="57">
      <c r="A57" s="146" t="s">
        <v>1028</v>
      </c>
      <c r="B57" s="146" t="s">
        <v>1029</v>
      </c>
      <c r="C57" s="146" t="s">
        <v>1030</v>
      </c>
      <c r="D57" s="146" t="s">
        <v>912</v>
      </c>
      <c r="E57" s="146"/>
      <c r="F57" s="146"/>
      <c r="G57" s="146"/>
      <c r="H57" s="146"/>
      <c r="I57" s="146"/>
    </row>
    <row r="58">
      <c r="A58" s="146" t="s">
        <v>1031</v>
      </c>
      <c r="B58" s="146" t="s">
        <v>1032</v>
      </c>
      <c r="C58" s="146" t="s">
        <v>1033</v>
      </c>
      <c r="D58" s="146" t="s">
        <v>912</v>
      </c>
      <c r="E58" s="146"/>
      <c r="F58" s="146"/>
      <c r="G58" s="146"/>
      <c r="H58" s="146"/>
      <c r="I58" s="146"/>
    </row>
    <row r="59">
      <c r="A59" s="146" t="s">
        <v>1034</v>
      </c>
      <c r="B59" s="146" t="s">
        <v>1035</v>
      </c>
      <c r="C59" s="146" t="s">
        <v>1036</v>
      </c>
      <c r="D59" s="146" t="s">
        <v>1037</v>
      </c>
      <c r="E59" s="146"/>
      <c r="F59" s="146"/>
      <c r="G59" s="146"/>
      <c r="H59" s="146"/>
      <c r="I59" s="146"/>
    </row>
    <row r="60">
      <c r="A60" s="146" t="s">
        <v>1038</v>
      </c>
      <c r="B60" s="146" t="s">
        <v>1039</v>
      </c>
      <c r="C60" s="146" t="s">
        <v>1040</v>
      </c>
      <c r="D60" s="146" t="s">
        <v>912</v>
      </c>
      <c r="E60" s="146"/>
      <c r="F60" s="146"/>
      <c r="G60" s="146"/>
      <c r="H60" s="146"/>
      <c r="I60" s="146"/>
    </row>
  </sheetData>
  <mergeCells>
    <mergeCell ref="A1:I1"/>
    <mergeCell ref="A2:I2"/>
    <mergeCell ref="A3:I3"/>
    <mergeCell ref="A10:I10"/>
    <mergeCell ref="A32:I32"/>
    <mergeCell ref="A40:I40"/>
    <mergeCell ref="A45:I45"/>
    <mergeCell ref="A52:I52"/>
  </mergeCells>
  <pageMargins bottom="1" footer="0.5" header="0.5" left="0.75" right="0.75" top="1"/>
  <drawing r:id="rId1"/>
</worksheet>
</file>

<file path=xl/worksheets/sheet10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3" ySplit="2"/>
    </sheetView>
  </sheetViews>
  <sheetFormatPr defaultRowHeight="0"/>
  <cols>
    <col collapsed="false" customWidth="true" hidden="false" max="9" min="9" style="0" width="8.394366197183098"/>
    <col collapsed="false" customWidth="true" hidden="false" max="11" min="11" style="0" width="8.394366197183098"/>
    <col collapsed="false" customWidth="true" hidden="false" max="2" min="2" style="0" width="16.507042253521128"/>
    <col collapsed="false" customWidth="true" hidden="false" max="4" min="4" style="0" width="8.394366197183098"/>
    <col collapsed="false" customWidth="true" hidden="false" max="6" min="6" style="0" width="8.394366197183098"/>
    <col collapsed="false" customWidth="true" hidden="false" max="8" min="8" style="0" width="8.394366197183098"/>
    <col collapsed="false" customWidth="true" hidden="false" max="10" min="10" style="0" width="8.394366197183098"/>
    <col collapsed="false" customWidth="true" hidden="false" max="12" min="12" style="0" width="12"/>
    <col collapsed="false" customWidth="true" hidden="false" max="1" min="1" style="0" width="46.70422535211268"/>
    <col collapsed="false" customWidth="true" hidden="false" max="3" min="3" style="0" width="22.816901408450704"/>
    <col collapsed="false" customWidth="true" hidden="false" max="5" min="5" style="0" width="8.394366197183098"/>
    <col collapsed="false" customWidth="true" hidden="false" max="7" min="7" style="0" width="8.394366197183098"/>
  </cols>
  <sheetData>
    <row customHeight="true" ht="21.42857142857143" r="1">
      <c r="A1" s="151" t="s">
        <v>1041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</row>
    <row customHeight="true" ht="13.095238095238095" r="2">
      <c r="A2" s="152" t="s">
        <v>1042</v>
      </c>
      <c r="B2" s="152"/>
      <c r="C2" s="152"/>
      <c r="D2" s="152"/>
      <c r="E2" s="152"/>
      <c r="F2" s="152"/>
      <c r="G2" s="152"/>
      <c r="H2" s="152"/>
      <c r="I2" s="152"/>
      <c r="J2" s="152"/>
      <c r="K2" s="152"/>
      <c r="L2" s="152"/>
    </row>
    <row customHeight="true" ht="15.476190476190476" r="3">
      <c r="A3" s="153" t="s">
        <v>1043</v>
      </c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</row>
    <row customHeight="true" ht="16.666666666666668" r="4">
      <c r="A4" s="154" t="s">
        <v>1044</v>
      </c>
      <c r="B4" s="154" t="s">
        <v>1045</v>
      </c>
      <c r="C4" s="154" t="s">
        <v>1046</v>
      </c>
      <c r="D4" s="155" t="s">
        <v>1047</v>
      </c>
      <c r="E4" s="155" t="s">
        <v>1047</v>
      </c>
      <c r="F4" s="155" t="s">
        <v>1047</v>
      </c>
      <c r="G4" s="155" t="s">
        <v>1047</v>
      </c>
      <c r="H4" s="155" t="s">
        <v>1047</v>
      </c>
      <c r="I4" s="155" t="s">
        <v>1047</v>
      </c>
      <c r="J4" s="155" t="s">
        <v>1047</v>
      </c>
      <c r="K4" s="155" t="s">
        <v>1047</v>
      </c>
      <c r="L4" s="155" t="s">
        <v>1047</v>
      </c>
    </row>
    <row r="5">
      <c r="A5" s="156" t="s">
        <v>1048</v>
      </c>
      <c r="B5" s="157" t="s">
        <v>1049</v>
      </c>
      <c r="C5" s="156" t="s">
        <v>1050</v>
      </c>
      <c r="D5" s="155" t="s">
        <v>1047</v>
      </c>
      <c r="E5" s="155" t="s">
        <v>1047</v>
      </c>
      <c r="F5" s="155" t="s">
        <v>1047</v>
      </c>
      <c r="G5" s="155" t="s">
        <v>1047</v>
      </c>
      <c r="H5" s="155" t="s">
        <v>1047</v>
      </c>
      <c r="I5" s="155" t="s">
        <v>1047</v>
      </c>
      <c r="J5" s="155" t="s">
        <v>1047</v>
      </c>
      <c r="K5" s="155" t="s">
        <v>1047</v>
      </c>
      <c r="L5" s="155" t="s">
        <v>1047</v>
      </c>
    </row>
    <row r="6">
      <c r="A6" s="156" t="s">
        <v>1051</v>
      </c>
      <c r="B6" s="157" t="s">
        <v>1052</v>
      </c>
      <c r="C6" s="157" t="s">
        <v>1053</v>
      </c>
      <c r="D6" s="155" t="s">
        <v>1047</v>
      </c>
      <c r="E6" s="155" t="s">
        <v>1047</v>
      </c>
      <c r="F6" s="155" t="s">
        <v>1047</v>
      </c>
      <c r="G6" s="155" t="s">
        <v>1047</v>
      </c>
      <c r="H6" s="155" t="s">
        <v>1047</v>
      </c>
      <c r="I6" s="155" t="s">
        <v>1047</v>
      </c>
      <c r="J6" s="155" t="s">
        <v>1047</v>
      </c>
      <c r="K6" s="155" t="s">
        <v>1047</v>
      </c>
      <c r="L6" s="155" t="s">
        <v>1047</v>
      </c>
    </row>
    <row r="7">
      <c r="A7" s="156" t="s">
        <v>1054</v>
      </c>
      <c r="B7" s="156" t="s">
        <v>1055</v>
      </c>
      <c r="C7" s="156" t="s">
        <v>1056</v>
      </c>
      <c r="D7" s="155" t="s">
        <v>1047</v>
      </c>
      <c r="E7" s="155" t="s">
        <v>1047</v>
      </c>
      <c r="F7" s="155" t="s">
        <v>1047</v>
      </c>
      <c r="G7" s="155" t="s">
        <v>1047</v>
      </c>
      <c r="H7" s="155" t="s">
        <v>1047</v>
      </c>
      <c r="I7" s="155" t="s">
        <v>1047</v>
      </c>
      <c r="J7" s="155" t="s">
        <v>1047</v>
      </c>
      <c r="K7" s="155" t="s">
        <v>1047</v>
      </c>
      <c r="L7" s="155" t="s">
        <v>1047</v>
      </c>
    </row>
    <row r="8">
      <c r="A8" s="157" t="s">
        <v>1057</v>
      </c>
      <c r="B8" s="156" t="s">
        <v>1058</v>
      </c>
      <c r="C8" s="156" t="s">
        <v>1059</v>
      </c>
      <c r="D8" s="155" t="s">
        <v>1047</v>
      </c>
      <c r="E8" s="155" t="s">
        <v>1047</v>
      </c>
      <c r="F8" s="155" t="s">
        <v>1047</v>
      </c>
      <c r="G8" s="155" t="s">
        <v>1047</v>
      </c>
      <c r="H8" s="155" t="s">
        <v>1047</v>
      </c>
      <c r="I8" s="155" t="s">
        <v>1047</v>
      </c>
      <c r="J8" s="155" t="s">
        <v>1047</v>
      </c>
      <c r="K8" s="155" t="s">
        <v>1047</v>
      </c>
      <c r="L8" s="155" t="s">
        <v>1047</v>
      </c>
    </row>
    <row r="9">
      <c r="A9" s="156" t="s">
        <v>1060</v>
      </c>
      <c r="B9" s="157" t="s">
        <v>1061</v>
      </c>
      <c r="C9" s="156" t="s">
        <v>1062</v>
      </c>
      <c r="D9" s="155" t="s">
        <v>1047</v>
      </c>
      <c r="E9" s="155" t="s">
        <v>1047</v>
      </c>
      <c r="F9" s="155" t="s">
        <v>1047</v>
      </c>
      <c r="G9" s="155" t="s">
        <v>1047</v>
      </c>
      <c r="H9" s="155" t="s">
        <v>1047</v>
      </c>
      <c r="I9" s="155" t="s">
        <v>1047</v>
      </c>
      <c r="J9" s="155" t="s">
        <v>1047</v>
      </c>
      <c r="K9" s="155" t="s">
        <v>1047</v>
      </c>
      <c r="L9" s="155" t="s">
        <v>1047</v>
      </c>
    </row>
    <row r="10">
      <c r="A10" s="157" t="s">
        <v>1063</v>
      </c>
      <c r="B10" s="156" t="s">
        <v>1064</v>
      </c>
      <c r="C10" s="156" t="s">
        <v>1065</v>
      </c>
      <c r="D10" s="155" t="s">
        <v>1047</v>
      </c>
      <c r="E10" s="155" t="s">
        <v>1047</v>
      </c>
      <c r="F10" s="155" t="s">
        <v>1047</v>
      </c>
      <c r="G10" s="155" t="s">
        <v>1047</v>
      </c>
      <c r="H10" s="155" t="s">
        <v>1047</v>
      </c>
      <c r="I10" s="155" t="s">
        <v>1047</v>
      </c>
      <c r="J10" s="155" t="s">
        <v>1047</v>
      </c>
      <c r="K10" s="155" t="s">
        <v>1047</v>
      </c>
      <c r="L10" s="155" t="s">
        <v>1047</v>
      </c>
    </row>
    <row r="11">
      <c r="A11" s="157" t="s">
        <v>1066</v>
      </c>
      <c r="B11" s="156" t="s">
        <v>1067</v>
      </c>
      <c r="C11" s="157" t="s">
        <v>1068</v>
      </c>
      <c r="D11" s="155" t="s">
        <v>1047</v>
      </c>
      <c r="E11" s="155" t="s">
        <v>1047</v>
      </c>
      <c r="F11" s="155" t="s">
        <v>1047</v>
      </c>
      <c r="G11" s="155" t="s">
        <v>1047</v>
      </c>
      <c r="H11" s="155" t="s">
        <v>1047</v>
      </c>
      <c r="I11" s="155" t="s">
        <v>1047</v>
      </c>
      <c r="J11" s="155" t="s">
        <v>1047</v>
      </c>
      <c r="K11" s="155" t="s">
        <v>1047</v>
      </c>
      <c r="L11" s="155" t="s">
        <v>1047</v>
      </c>
    </row>
    <row r="12">
      <c r="A12" s="156" t="s">
        <v>1069</v>
      </c>
      <c r="B12" s="156" t="s">
        <v>1070</v>
      </c>
      <c r="C12" s="157" t="s">
        <v>1071</v>
      </c>
      <c r="D12" s="155" t="s">
        <v>1047</v>
      </c>
      <c r="E12" s="155" t="s">
        <v>1047</v>
      </c>
      <c r="F12" s="155" t="s">
        <v>1047</v>
      </c>
      <c r="G12" s="155" t="s">
        <v>1047</v>
      </c>
      <c r="H12" s="155" t="s">
        <v>1047</v>
      </c>
      <c r="I12" s="155" t="s">
        <v>1047</v>
      </c>
      <c r="J12" s="155" t="s">
        <v>1047</v>
      </c>
      <c r="K12" s="155" t="s">
        <v>1047</v>
      </c>
      <c r="L12" s="155" t="s">
        <v>1047</v>
      </c>
    </row>
    <row r="13">
      <c r="A13" s="156" t="s">
        <v>1072</v>
      </c>
      <c r="B13" s="156" t="s">
        <v>1073</v>
      </c>
      <c r="C13" s="157" t="s">
        <v>1074</v>
      </c>
      <c r="D13" s="155" t="s">
        <v>1047</v>
      </c>
      <c r="E13" s="155" t="s">
        <v>1047</v>
      </c>
      <c r="F13" s="155" t="s">
        <v>1047</v>
      </c>
      <c r="G13" s="155" t="s">
        <v>1047</v>
      </c>
      <c r="H13" s="155" t="s">
        <v>1047</v>
      </c>
      <c r="I13" s="155" t="s">
        <v>1047</v>
      </c>
      <c r="J13" s="155" t="s">
        <v>1047</v>
      </c>
      <c r="K13" s="155" t="s">
        <v>1047</v>
      </c>
      <c r="L13" s="155" t="s">
        <v>1047</v>
      </c>
    </row>
    <row customHeight="true" ht="15.476190476190476" r="14">
      <c r="A14" s="158" t="s">
        <v>1075</v>
      </c>
      <c r="B14" s="158"/>
      <c r="C14" s="158"/>
      <c r="D14" s="158"/>
      <c r="E14" s="158"/>
      <c r="F14" s="158"/>
      <c r="G14" s="158"/>
      <c r="H14" s="158"/>
      <c r="I14" s="158"/>
      <c r="J14" s="158"/>
      <c r="K14" s="158"/>
      <c r="L14" s="158"/>
    </row>
    <row customHeight="true" ht="16.666666666666668" r="15">
      <c r="A15" s="154" t="s">
        <v>1076</v>
      </c>
      <c r="B15" s="159" t="s">
        <v>1077</v>
      </c>
      <c r="C15" s="159" t="s">
        <v>1078</v>
      </c>
      <c r="D15" s="159" t="s">
        <v>1079</v>
      </c>
      <c r="E15" s="159" t="s">
        <v>1080</v>
      </c>
      <c r="F15" s="159" t="s">
        <v>1081</v>
      </c>
      <c r="G15" s="159" t="s">
        <v>1082</v>
      </c>
      <c r="H15" s="159" t="s">
        <v>1083</v>
      </c>
      <c r="I15" s="159" t="s">
        <v>1084</v>
      </c>
      <c r="J15" s="159" t="s">
        <v>1085</v>
      </c>
      <c r="K15" s="159" t="s">
        <v>1086</v>
      </c>
      <c r="L15" s="159" t="s">
        <v>1087</v>
      </c>
    </row>
    <row customHeight="true" ht="22" r="16">
      <c r="A16" s="154" t="s">
        <v>1088</v>
      </c>
      <c r="B16" s="154" t="s">
        <v>1089</v>
      </c>
      <c r="C16" s="160">
        <v>20</v>
      </c>
      <c r="D16" s="160">
        <v>18</v>
      </c>
      <c r="E16" s="160">
        <v>17</v>
      </c>
      <c r="F16" s="160">
        <v>18</v>
      </c>
      <c r="G16" s="160">
        <f t="shared" ref="G16:G21" si="0">D16+E16+F16</f>
      </c>
      <c r="H16" s="160">
        <f t="shared" ref="H16:H18" si="2">60</f>
      </c>
      <c r="I16" s="161">
        <f t="shared" ref="I16:I21" si="1">IF(H16=0,"",G16/H16)</f>
      </c>
      <c r="J16" s="160">
        <v>0</v>
      </c>
      <c r="K16" s="162">
        <v>0.94</v>
      </c>
      <c r="L16" s="163">
        <v>2.1</v>
      </c>
    </row>
    <row r="17">
      <c r="A17" s="157" t="s">
        <v>1090</v>
      </c>
      <c r="B17" s="156" t="s">
        <v>1089</v>
      </c>
      <c r="C17" s="164">
        <v>20</v>
      </c>
      <c r="D17" s="164">
        <v>16</v>
      </c>
      <c r="E17" s="164">
        <v>17</v>
      </c>
      <c r="F17" s="164">
        <v>18</v>
      </c>
      <c r="G17" s="164">
        <f t="shared" si="0"/>
      </c>
      <c r="H17" s="164">
        <f t="shared" si="2"/>
      </c>
      <c r="I17" s="165">
        <f t="shared" si="1"/>
      </c>
      <c r="J17" s="164">
        <v>1</v>
      </c>
      <c r="K17" s="162">
        <v>0.91</v>
      </c>
      <c r="L17" s="163">
        <v>4.6</v>
      </c>
    </row>
    <row r="18">
      <c r="A18" s="157" t="s">
        <v>1091</v>
      </c>
      <c r="B18" s="156" t="s">
        <v>1089</v>
      </c>
      <c r="C18" s="164">
        <v>20</v>
      </c>
      <c r="D18" s="164">
        <v>17</v>
      </c>
      <c r="E18" s="164">
        <v>18</v>
      </c>
      <c r="F18" s="164">
        <v>18</v>
      </c>
      <c r="G18" s="164">
        <f t="shared" si="0"/>
      </c>
      <c r="H18" s="164">
        <f t="shared" si="2"/>
      </c>
      <c r="I18" s="165">
        <f t="shared" si="1"/>
      </c>
      <c r="J18" s="164">
        <v>1</v>
      </c>
      <c r="K18" s="162">
        <v>0.92</v>
      </c>
      <c r="L18" s="163">
        <v>4.6</v>
      </c>
    </row>
    <row r="19">
      <c r="A19" s="157" t="s">
        <v>1092</v>
      </c>
      <c r="B19" s="156" t="s">
        <v>1093</v>
      </c>
      <c r="C19" s="164">
        <v>40</v>
      </c>
      <c r="D19" s="164">
        <v>35</v>
      </c>
      <c r="E19" s="164">
        <v>37</v>
      </c>
      <c r="F19" s="164">
        <v>36</v>
      </c>
      <c r="G19" s="164">
        <f t="shared" si="0"/>
      </c>
      <c r="H19" s="164">
        <f>120</f>
      </c>
      <c r="I19" s="165">
        <f t="shared" si="1"/>
      </c>
      <c r="J19" s="164">
        <v>1</v>
      </c>
      <c r="K19" s="162">
        <v>0.93</v>
      </c>
      <c r="L19" s="163">
        <v>4.4</v>
      </c>
    </row>
    <row r="20">
      <c r="A20" s="157" t="s">
        <v>1094</v>
      </c>
      <c r="B20" s="156" t="s">
        <v>1095</v>
      </c>
      <c r="C20" s="164">
        <v>200</v>
      </c>
      <c r="D20" s="164">
        <v>194</v>
      </c>
      <c r="E20" s="164">
        <v>197</v>
      </c>
      <c r="F20" s="164">
        <v>195</v>
      </c>
      <c r="G20" s="164">
        <f t="shared" si="0"/>
      </c>
      <c r="H20" s="164">
        <f>600</f>
      </c>
      <c r="I20" s="165">
        <f t="shared" si="1"/>
      </c>
      <c r="J20" s="164">
        <v>0</v>
      </c>
      <c r="K20" s="162">
        <v>0.97</v>
      </c>
      <c r="L20" s="163">
        <v>2.4</v>
      </c>
    </row>
    <row r="21">
      <c r="A21" s="157" t="s">
        <v>1096</v>
      </c>
      <c r="B21" s="156" t="s">
        <v>1097</v>
      </c>
      <c r="C21" s="164">
        <v>15</v>
      </c>
      <c r="D21" s="164">
        <v>15</v>
      </c>
      <c r="E21" s="164">
        <v>14</v>
      </c>
      <c r="F21" s="164">
        <v>15</v>
      </c>
      <c r="G21" s="164">
        <f t="shared" si="0"/>
      </c>
      <c r="H21" s="164">
        <f>45</f>
      </c>
      <c r="I21" s="165">
        <f t="shared" si="1"/>
      </c>
      <c r="J21" s="164">
        <v>0</v>
      </c>
      <c r="K21" s="162">
        <v>0.96</v>
      </c>
      <c r="L21" s="163">
        <v>4.6</v>
      </c>
    </row>
    <row r="22">
      <c r="A22" s="157" t="s">
        <v>1098</v>
      </c>
      <c r="B22" s="156" t="s">
        <v>1099</v>
      </c>
      <c r="C22" s="164" t="s">
        <v>1099</v>
      </c>
      <c r="D22" s="164">
        <f>SUM(D16:D21)</f>
      </c>
      <c r="E22" s="164">
        <f>SUM(E16:E21)</f>
      </c>
      <c r="F22" s="164">
        <f>SUM(F16:F21)</f>
      </c>
      <c r="G22" s="164">
        <f>SUM(G16:G21)</f>
      </c>
      <c r="H22" s="164">
        <f>SUM(H16:H21)</f>
      </c>
      <c r="I22" s="165">
        <f>SUM(G16:G21)/SUM(H16:H21)</f>
      </c>
      <c r="J22" s="164">
        <f>SUM(J16:J21)</f>
      </c>
      <c r="K22" s="162" t="s">
        <v>1099</v>
      </c>
      <c r="L22" s="163" t="s">
        <v>1099</v>
      </c>
    </row>
    <row customHeight="true" ht="15.476190476190476" r="23">
      <c r="A23" s="158" t="s">
        <v>1100</v>
      </c>
      <c r="B23" s="158"/>
      <c r="C23" s="158"/>
      <c r="D23" s="158"/>
      <c r="E23" s="158"/>
      <c r="F23" s="158"/>
      <c r="G23" s="158"/>
      <c r="H23" s="158"/>
      <c r="I23" s="158"/>
      <c r="J23" s="158"/>
      <c r="K23" s="158"/>
      <c r="L23" s="158"/>
    </row>
    <row customHeight="true" ht="16.666666666666668" r="24">
      <c r="A24" s="154" t="s">
        <v>1101</v>
      </c>
      <c r="B24" s="159" t="s">
        <v>1102</v>
      </c>
      <c r="C24" s="159" t="s">
        <v>1103</v>
      </c>
      <c r="D24" s="155" t="s">
        <v>1047</v>
      </c>
      <c r="E24" s="155" t="s">
        <v>1047</v>
      </c>
      <c r="F24" s="155" t="s">
        <v>1047</v>
      </c>
      <c r="G24" s="155" t="s">
        <v>1047</v>
      </c>
      <c r="H24" s="155" t="s">
        <v>1047</v>
      </c>
      <c r="I24" s="155" t="s">
        <v>1047</v>
      </c>
      <c r="J24" s="155" t="s">
        <v>1047</v>
      </c>
      <c r="K24" s="155" t="s">
        <v>1047</v>
      </c>
      <c r="L24" s="155" t="s">
        <v>1047</v>
      </c>
    </row>
    <row customHeight="true" ht="22" r="25">
      <c r="A25" s="154" t="s">
        <v>1104</v>
      </c>
      <c r="B25" s="154" t="s">
        <v>1105</v>
      </c>
      <c r="C25" s="154" t="s">
        <v>1106</v>
      </c>
      <c r="D25" s="155" t="s">
        <v>1047</v>
      </c>
      <c r="E25" s="155" t="s">
        <v>1047</v>
      </c>
      <c r="F25" s="155" t="s">
        <v>1047</v>
      </c>
      <c r="G25" s="155" t="s">
        <v>1047</v>
      </c>
      <c r="H25" s="155" t="s">
        <v>1047</v>
      </c>
      <c r="I25" s="155" t="s">
        <v>1047</v>
      </c>
      <c r="J25" s="155" t="s">
        <v>1047</v>
      </c>
      <c r="K25" s="155" t="s">
        <v>1047</v>
      </c>
      <c r="L25" s="155" t="s">
        <v>1047</v>
      </c>
    </row>
    <row r="26">
      <c r="A26" s="157" t="s">
        <v>1107</v>
      </c>
      <c r="B26" s="166" t="s">
        <v>1108</v>
      </c>
      <c r="C26" s="157" t="s">
        <v>1106</v>
      </c>
      <c r="D26" s="155" t="s">
        <v>1047</v>
      </c>
      <c r="E26" s="155" t="s">
        <v>1047</v>
      </c>
      <c r="F26" s="155" t="s">
        <v>1047</v>
      </c>
      <c r="G26" s="155" t="s">
        <v>1047</v>
      </c>
      <c r="H26" s="155" t="s">
        <v>1047</v>
      </c>
      <c r="I26" s="155" t="s">
        <v>1047</v>
      </c>
      <c r="J26" s="155" t="s">
        <v>1047</v>
      </c>
      <c r="K26" s="155" t="s">
        <v>1047</v>
      </c>
      <c r="L26" s="155" t="s">
        <v>1047</v>
      </c>
    </row>
    <row r="27">
      <c r="A27" s="157" t="s">
        <v>1109</v>
      </c>
      <c r="B27" s="166" t="s">
        <v>1110</v>
      </c>
      <c r="C27" s="157" t="s">
        <v>1111</v>
      </c>
      <c r="D27" s="155" t="s">
        <v>1047</v>
      </c>
      <c r="E27" s="155" t="s">
        <v>1047</v>
      </c>
      <c r="F27" s="155" t="s">
        <v>1047</v>
      </c>
      <c r="G27" s="155" t="s">
        <v>1047</v>
      </c>
      <c r="H27" s="155" t="s">
        <v>1047</v>
      </c>
      <c r="I27" s="155" t="s">
        <v>1047</v>
      </c>
      <c r="J27" s="155" t="s">
        <v>1047</v>
      </c>
      <c r="K27" s="155" t="s">
        <v>1047</v>
      </c>
      <c r="L27" s="155" t="s">
        <v>1047</v>
      </c>
    </row>
    <row r="28">
      <c r="A28" s="157" t="s">
        <v>1112</v>
      </c>
      <c r="B28" s="166" t="s">
        <v>1113</v>
      </c>
      <c r="C28" s="157" t="s">
        <v>1111</v>
      </c>
      <c r="D28" s="155" t="s">
        <v>1047</v>
      </c>
      <c r="E28" s="155" t="s">
        <v>1047</v>
      </c>
      <c r="F28" s="155" t="s">
        <v>1047</v>
      </c>
      <c r="G28" s="155" t="s">
        <v>1047</v>
      </c>
      <c r="H28" s="155" t="s">
        <v>1047</v>
      </c>
      <c r="I28" s="155" t="s">
        <v>1047</v>
      </c>
      <c r="J28" s="155" t="s">
        <v>1047</v>
      </c>
      <c r="K28" s="155" t="s">
        <v>1047</v>
      </c>
      <c r="L28" s="155" t="s">
        <v>1047</v>
      </c>
    </row>
    <row r="29">
      <c r="A29" s="157" t="s">
        <v>1114</v>
      </c>
      <c r="B29" s="167">
        <v>0.0000012</v>
      </c>
      <c r="C29" s="157" t="s">
        <v>1115</v>
      </c>
      <c r="D29" s="155" t="s">
        <v>1047</v>
      </c>
      <c r="E29" s="155" t="s">
        <v>1047</v>
      </c>
      <c r="F29" s="155" t="s">
        <v>1047</v>
      </c>
      <c r="G29" s="155" t="s">
        <v>1047</v>
      </c>
      <c r="H29" s="155" t="s">
        <v>1047</v>
      </c>
      <c r="I29" s="155" t="s">
        <v>1047</v>
      </c>
      <c r="J29" s="155" t="s">
        <v>1047</v>
      </c>
      <c r="K29" s="155" t="s">
        <v>1047</v>
      </c>
      <c r="L29" s="155" t="s">
        <v>1047</v>
      </c>
    </row>
    <row r="30">
      <c r="A30" s="157" t="s">
        <v>1116</v>
      </c>
      <c r="B30" s="168" t="s">
        <v>1117</v>
      </c>
      <c r="C30" s="157" t="s">
        <v>1118</v>
      </c>
      <c r="D30" s="155" t="s">
        <v>1047</v>
      </c>
      <c r="E30" s="155" t="s">
        <v>1047</v>
      </c>
      <c r="F30" s="155" t="s">
        <v>1047</v>
      </c>
      <c r="G30" s="155" t="s">
        <v>1047</v>
      </c>
      <c r="H30" s="155" t="s">
        <v>1047</v>
      </c>
      <c r="I30" s="155" t="s">
        <v>1047</v>
      </c>
      <c r="J30" s="155" t="s">
        <v>1047</v>
      </c>
      <c r="K30" s="155" t="s">
        <v>1047</v>
      </c>
      <c r="L30" s="155" t="s">
        <v>1047</v>
      </c>
    </row>
    <row r="31">
      <c r="A31" s="155" t="s">
        <v>1119</v>
      </c>
      <c r="B31" s="169">
        <f>AVERAGE(I16:I21)</f>
      </c>
      <c r="C31" s="155" t="s">
        <v>1120</v>
      </c>
      <c r="D31" s="155" t="s">
        <v>1047</v>
      </c>
      <c r="E31" s="155" t="s">
        <v>1047</v>
      </c>
      <c r="F31" s="155" t="s">
        <v>1047</v>
      </c>
      <c r="G31" s="155" t="s">
        <v>1047</v>
      </c>
      <c r="H31" s="155" t="s">
        <v>1047</v>
      </c>
      <c r="I31" s="155" t="s">
        <v>1047</v>
      </c>
      <c r="J31" s="155" t="s">
        <v>1047</v>
      </c>
      <c r="K31" s="155" t="s">
        <v>1047</v>
      </c>
      <c r="L31" s="155" t="s">
        <v>1047</v>
      </c>
    </row>
  </sheetData>
  <mergeCells>
    <mergeCell ref="A1:L1"/>
    <mergeCell ref="A2:L2"/>
    <mergeCell ref="A3:L3"/>
    <mergeCell ref="A14:L14"/>
    <mergeCell ref="A23:L23"/>
  </mergeCells>
  <pageMargins bottom="1" footer="0.5" header="0.5" left="0.75" right="0.75" top="1"/>
  <drawing r:id="rId1"/>
</worksheet>
</file>

<file path=xl/worksheets/sheet1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3" ySplit="2"/>
    </sheetView>
  </sheetViews>
  <sheetFormatPr defaultRowHeight="0"/>
  <cols>
    <col collapsed="false" customWidth="true" hidden="false" max="2" min="2" style="0" width="11.098591549295774"/>
    <col collapsed="false" customWidth="true" hidden="false" max="4" min="4" style="0" width="12"/>
    <col collapsed="false" customWidth="true" hidden="false" max="6" min="6" style="0" width="10.19718309859155"/>
    <col collapsed="false" customWidth="true" hidden="false" max="8" min="8" style="0" width="14.704225352112676"/>
    <col collapsed="false" customWidth="true" hidden="false" max="9" min="9" style="0" width="8.394366197183098"/>
    <col collapsed="false" customWidth="true" hidden="false" max="1" min="1" style="0" width="46.70422535211268"/>
    <col collapsed="false" customWidth="true" hidden="false" max="3" min="3" style="0" width="8.394366197183098"/>
    <col collapsed="false" customWidth="true" hidden="false" max="5" min="5" style="0" width="12"/>
    <col collapsed="false" customWidth="true" hidden="false" max="7" min="7" style="0" width="16.507042253521128"/>
  </cols>
  <sheetData>
    <row customHeight="true" ht="21.42857142857143" r="1">
      <c r="A1" s="170" t="s">
        <v>1121</v>
      </c>
      <c r="B1" s="170"/>
      <c r="C1" s="170"/>
      <c r="D1" s="170"/>
      <c r="E1" s="170"/>
      <c r="F1" s="170"/>
      <c r="G1" s="170"/>
      <c r="H1" s="170"/>
      <c r="I1" s="171" t="s">
        <v>1122</v>
      </c>
    </row>
    <row customHeight="true" ht="13.095238095238095" r="2">
      <c r="A2" s="172" t="s">
        <v>1123</v>
      </c>
      <c r="B2" s="172"/>
      <c r="C2" s="172"/>
      <c r="D2" s="172"/>
      <c r="E2" s="172"/>
      <c r="F2" s="172"/>
      <c r="G2" s="172"/>
      <c r="H2" s="172"/>
      <c r="I2" s="171" t="s">
        <v>1122</v>
      </c>
    </row>
    <row customHeight="true" ht="15.476190476190476" r="3">
      <c r="A3" s="173" t="s">
        <v>1124</v>
      </c>
      <c r="B3" s="173"/>
      <c r="C3" s="173"/>
      <c r="D3" s="173"/>
      <c r="E3" s="173"/>
      <c r="F3" s="173"/>
      <c r="G3" s="173"/>
      <c r="H3" s="173"/>
      <c r="I3" s="171" t="s">
        <v>1122</v>
      </c>
    </row>
    <row customHeight="true" ht="16.666666666666668" r="4">
      <c r="A4" s="174" t="s">
        <v>1125</v>
      </c>
      <c r="B4" s="174" t="s">
        <v>1126</v>
      </c>
      <c r="C4" s="174" t="s">
        <v>1127</v>
      </c>
      <c r="D4" s="174" t="s">
        <v>1128</v>
      </c>
      <c r="E4" s="174" t="s">
        <v>1129</v>
      </c>
      <c r="F4" s="174" t="s">
        <v>1130</v>
      </c>
      <c r="G4" s="174" t="s">
        <v>1131</v>
      </c>
      <c r="H4" s="174" t="s">
        <v>1132</v>
      </c>
      <c r="I4" s="174" t="s">
        <v>1122</v>
      </c>
    </row>
    <row r="5">
      <c r="A5" s="175" t="s">
        <v>1133</v>
      </c>
      <c r="B5" s="176">
        <v>24</v>
      </c>
      <c r="C5" s="176">
        <v>7780</v>
      </c>
      <c r="D5" s="176">
        <v>21</v>
      </c>
      <c r="E5" s="176">
        <v>3</v>
      </c>
      <c r="F5" s="175" t="s">
        <v>1134</v>
      </c>
      <c r="G5" s="175" t="s">
        <v>1135</v>
      </c>
      <c r="H5" s="175" t="s">
        <v>1136</v>
      </c>
      <c r="I5" s="177" t="s">
        <v>1122</v>
      </c>
    </row>
    <row r="6">
      <c r="A6" s="175" t="s">
        <v>1137</v>
      </c>
      <c r="B6" s="176">
        <v>96</v>
      </c>
      <c r="C6" s="176">
        <v>28417</v>
      </c>
      <c r="D6" s="176">
        <v>22</v>
      </c>
      <c r="E6" s="176">
        <v>74</v>
      </c>
      <c r="F6" s="175" t="s">
        <v>1134</v>
      </c>
      <c r="G6" s="175" t="s">
        <v>1138</v>
      </c>
      <c r="H6" s="177" t="s">
        <v>1139</v>
      </c>
      <c r="I6" s="175" t="s">
        <v>1122</v>
      </c>
    </row>
    <row r="7">
      <c r="A7" s="175" t="s">
        <v>1140</v>
      </c>
      <c r="B7" s="176">
        <v>72</v>
      </c>
      <c r="C7" s="176">
        <v>26381</v>
      </c>
      <c r="D7" s="176">
        <v>19</v>
      </c>
      <c r="E7" s="176">
        <v>53</v>
      </c>
      <c r="F7" s="175" t="s">
        <v>1134</v>
      </c>
      <c r="G7" s="177" t="s">
        <v>1141</v>
      </c>
      <c r="H7" s="177" t="s">
        <v>1142</v>
      </c>
      <c r="I7" s="175" t="s">
        <v>1122</v>
      </c>
    </row>
    <row r="8">
      <c r="A8" s="175" t="s">
        <v>1143</v>
      </c>
      <c r="B8" s="176">
        <v>96</v>
      </c>
      <c r="C8" s="176">
        <v>11359</v>
      </c>
      <c r="D8" s="176">
        <v>91</v>
      </c>
      <c r="E8" s="176">
        <v>5</v>
      </c>
      <c r="F8" s="177" t="s">
        <v>1144</v>
      </c>
      <c r="G8" s="177" t="s">
        <v>1145</v>
      </c>
      <c r="H8" s="175" t="s">
        <v>1146</v>
      </c>
      <c r="I8" s="175" t="s">
        <v>1122</v>
      </c>
    </row>
    <row r="9">
      <c r="A9" s="175" t="s">
        <v>1147</v>
      </c>
      <c r="B9" s="176">
        <v>24</v>
      </c>
      <c r="C9" s="176">
        <v>7780</v>
      </c>
      <c r="D9" s="176">
        <v>21</v>
      </c>
      <c r="E9" s="176">
        <v>3</v>
      </c>
      <c r="F9" s="175" t="s">
        <v>1134</v>
      </c>
      <c r="G9" s="175" t="s">
        <v>1148</v>
      </c>
      <c r="H9" s="175" t="s">
        <v>1149</v>
      </c>
      <c r="I9" s="177" t="s">
        <v>1122</v>
      </c>
    </row>
    <row r="10">
      <c r="A10" s="175" t="s">
        <v>1150</v>
      </c>
      <c r="B10" s="176">
        <v>108</v>
      </c>
      <c r="C10" s="176">
        <v>108</v>
      </c>
      <c r="D10" s="176">
        <v>105</v>
      </c>
      <c r="E10" s="176">
        <v>3</v>
      </c>
      <c r="F10" s="177" t="s">
        <v>1151</v>
      </c>
      <c r="G10" s="177" t="s">
        <v>1152</v>
      </c>
      <c r="H10" s="175" t="s">
        <v>1153</v>
      </c>
      <c r="I10" s="177" t="s">
        <v>1122</v>
      </c>
    </row>
    <row customHeight="true" ht="15.476190476190476" r="11">
      <c r="A11" s="178" t="s">
        <v>1154</v>
      </c>
      <c r="B11" s="178"/>
      <c r="C11" s="178"/>
      <c r="D11" s="178"/>
      <c r="E11" s="178"/>
      <c r="F11" s="178"/>
      <c r="G11" s="178"/>
      <c r="H11" s="178"/>
      <c r="I11" s="171" t="s">
        <v>1122</v>
      </c>
    </row>
    <row customHeight="true" ht="16.666666666666668" r="12">
      <c r="A12" s="174" t="s">
        <v>1155</v>
      </c>
      <c r="B12" s="179" t="s">
        <v>1125</v>
      </c>
      <c r="C12" s="179" t="s">
        <v>1156</v>
      </c>
      <c r="D12" s="179" t="s">
        <v>1157</v>
      </c>
      <c r="E12" s="179" t="s">
        <v>1158</v>
      </c>
      <c r="F12" s="179" t="s">
        <v>1159</v>
      </c>
      <c r="G12" s="179" t="s">
        <v>1160</v>
      </c>
      <c r="H12" s="179" t="s">
        <v>1161</v>
      </c>
      <c r="I12" s="171" t="s">
        <v>1122</v>
      </c>
    </row>
    <row customHeight="true" ht="22" r="13">
      <c r="A13" s="174" t="s">
        <v>1162</v>
      </c>
      <c r="B13" s="174" t="s">
        <v>1163</v>
      </c>
      <c r="C13" s="174" t="s">
        <v>1164</v>
      </c>
      <c r="D13" s="180">
        <v>1140</v>
      </c>
      <c r="E13" s="181">
        <v>0.1163</v>
      </c>
      <c r="F13" s="174" t="s">
        <v>1165</v>
      </c>
      <c r="G13" s="174" t="s">
        <v>1166</v>
      </c>
      <c r="H13" s="174" t="s">
        <v>1167</v>
      </c>
      <c r="I13" s="171" t="s">
        <v>1122</v>
      </c>
    </row>
    <row r="14">
      <c r="A14" s="175" t="s">
        <v>1168</v>
      </c>
      <c r="B14" s="177" t="s">
        <v>1163</v>
      </c>
      <c r="C14" s="177" t="s">
        <v>1164</v>
      </c>
      <c r="D14" s="176">
        <v>1140</v>
      </c>
      <c r="E14" s="182">
        <v>0.1178</v>
      </c>
      <c r="F14" s="177" t="s">
        <v>1169</v>
      </c>
      <c r="G14" s="177" t="s">
        <v>1166</v>
      </c>
      <c r="H14" s="175" t="s">
        <v>1170</v>
      </c>
      <c r="I14" s="171" t="s">
        <v>1122</v>
      </c>
    </row>
    <row r="15">
      <c r="A15" s="175" t="s">
        <v>1171</v>
      </c>
      <c r="B15" s="175" t="s">
        <v>1163</v>
      </c>
      <c r="C15" s="177" t="s">
        <v>1164</v>
      </c>
      <c r="D15" s="176">
        <v>1140</v>
      </c>
      <c r="E15" s="182">
        <v>0.1159</v>
      </c>
      <c r="F15" s="177" t="s">
        <v>1172</v>
      </c>
      <c r="G15" s="177" t="s">
        <v>1166</v>
      </c>
      <c r="H15" s="175" t="s">
        <v>1173</v>
      </c>
      <c r="I15" s="171" t="s">
        <v>1122</v>
      </c>
    </row>
    <row r="16">
      <c r="A16" s="175" t="s">
        <v>1174</v>
      </c>
      <c r="B16" s="177" t="s">
        <v>1175</v>
      </c>
      <c r="C16" s="177" t="s">
        <v>1164</v>
      </c>
      <c r="D16" s="176">
        <v>9296</v>
      </c>
      <c r="E16" s="182">
        <v>0.009</v>
      </c>
      <c r="F16" s="177" t="s">
        <v>1176</v>
      </c>
      <c r="G16" s="177" t="s">
        <v>1166</v>
      </c>
      <c r="H16" s="175" t="s">
        <v>1177</v>
      </c>
      <c r="I16" s="171" t="s">
        <v>1122</v>
      </c>
    </row>
    <row r="17">
      <c r="A17" s="175" t="s">
        <v>1178</v>
      </c>
      <c r="B17" s="175" t="s">
        <v>1179</v>
      </c>
      <c r="C17" s="177" t="s">
        <v>1164</v>
      </c>
      <c r="D17" s="176">
        <v>6144</v>
      </c>
      <c r="E17" s="182">
        <v>0.0082</v>
      </c>
      <c r="F17" s="177" t="s">
        <v>1180</v>
      </c>
      <c r="G17" s="177" t="s">
        <v>1166</v>
      </c>
      <c r="H17" s="175" t="s">
        <v>1181</v>
      </c>
      <c r="I17" s="171" t="s">
        <v>1122</v>
      </c>
    </row>
    <row r="18">
      <c r="A18" s="177" t="s">
        <v>1182</v>
      </c>
      <c r="B18" s="177" t="s">
        <v>1183</v>
      </c>
      <c r="C18" s="177" t="s">
        <v>1184</v>
      </c>
      <c r="D18" s="176">
        <v>3200</v>
      </c>
      <c r="E18" s="182">
        <v>0.0041</v>
      </c>
      <c r="F18" s="177" t="s">
        <v>1185</v>
      </c>
      <c r="G18" s="177" t="s">
        <v>1166</v>
      </c>
      <c r="H18" s="175" t="s">
        <v>1186</v>
      </c>
      <c r="I18" s="171" t="s">
        <v>1122</v>
      </c>
    </row>
    <row r="19">
      <c r="A19" s="171" t="s">
        <v>1187</v>
      </c>
      <c r="B19" s="171" t="s">
        <v>1188</v>
      </c>
      <c r="C19" s="171" t="s">
        <v>1189</v>
      </c>
      <c r="D19" s="183">
        <v>4800</v>
      </c>
      <c r="E19" s="184">
        <v>0.0076</v>
      </c>
      <c r="F19" s="171" t="s">
        <v>1190</v>
      </c>
      <c r="G19" s="171" t="s">
        <v>1166</v>
      </c>
      <c r="H19" s="171" t="s">
        <v>1191</v>
      </c>
      <c r="I19" s="171" t="s">
        <v>1122</v>
      </c>
    </row>
    <row customHeight="true" ht="15.476190476190476" r="20">
      <c r="A20" s="173" t="s">
        <v>1192</v>
      </c>
      <c r="B20" s="173"/>
      <c r="C20" s="173"/>
      <c r="D20" s="173"/>
      <c r="E20" s="173"/>
      <c r="F20" s="173"/>
      <c r="G20" s="173"/>
      <c r="H20" s="173"/>
      <c r="I20" s="171" t="s">
        <v>1122</v>
      </c>
    </row>
    <row customHeight="true" ht="16.666666666666668" r="21">
      <c r="A21" s="174" t="s">
        <v>1193</v>
      </c>
      <c r="B21" s="174" t="s">
        <v>1194</v>
      </c>
      <c r="C21" s="174" t="s">
        <v>1158</v>
      </c>
      <c r="D21" s="174" t="s">
        <v>1195</v>
      </c>
      <c r="E21" s="174" t="s">
        <v>1196</v>
      </c>
      <c r="F21" s="174" t="s">
        <v>1197</v>
      </c>
      <c r="G21" s="171" t="s">
        <v>1122</v>
      </c>
      <c r="H21" s="171" t="s">
        <v>1122</v>
      </c>
      <c r="I21" s="171" t="s">
        <v>1122</v>
      </c>
    </row>
    <row r="22">
      <c r="A22" s="176">
        <v>2</v>
      </c>
      <c r="B22" s="185">
        <v>0.421</v>
      </c>
      <c r="C22" s="185">
        <v>0.402</v>
      </c>
      <c r="D22" s="185">
        <v>0.183</v>
      </c>
      <c r="E22" s="185">
        <v>0.162</v>
      </c>
      <c r="F22" s="186">
        <v>0.0005</v>
      </c>
      <c r="G22" s="171" t="s">
        <v>1122</v>
      </c>
      <c r="H22" s="171" t="s">
        <v>1122</v>
      </c>
      <c r="I22" s="171" t="s">
        <v>1122</v>
      </c>
    </row>
    <row r="23">
      <c r="A23" s="176">
        <v>4</v>
      </c>
      <c r="B23" s="185">
        <v>0.288</v>
      </c>
      <c r="C23" s="185">
        <v>0.276</v>
      </c>
      <c r="D23" s="185">
        <v>0.121</v>
      </c>
      <c r="E23" s="185">
        <v>0.104</v>
      </c>
      <c r="F23" s="186">
        <v>0.0005</v>
      </c>
      <c r="G23" s="171" t="s">
        <v>1122</v>
      </c>
      <c r="H23" s="171" t="s">
        <v>1122</v>
      </c>
      <c r="I23" s="171" t="s">
        <v>1122</v>
      </c>
    </row>
    <row r="24">
      <c r="A24" s="176">
        <v>6</v>
      </c>
      <c r="B24" s="185">
        <v>0.219</v>
      </c>
      <c r="C24" s="185">
        <v>0.213</v>
      </c>
      <c r="D24" s="185">
        <v>0.088</v>
      </c>
      <c r="E24" s="185">
        <v>0.076</v>
      </c>
      <c r="F24" s="186">
        <v>0.0004</v>
      </c>
      <c r="G24" s="171" t="s">
        <v>1122</v>
      </c>
      <c r="H24" s="171" t="s">
        <v>1122</v>
      </c>
      <c r="I24" s="171" t="s">
        <v>1122</v>
      </c>
    </row>
    <row r="25">
      <c r="A25" s="176">
        <v>8</v>
      </c>
      <c r="B25" s="185">
        <v>0.178</v>
      </c>
      <c r="C25" s="185">
        <v>0.175</v>
      </c>
      <c r="D25" s="185">
        <v>0.069</v>
      </c>
      <c r="E25" s="185">
        <v>0.058</v>
      </c>
      <c r="F25" s="186">
        <v>0.0004</v>
      </c>
      <c r="G25" s="171" t="s">
        <v>1122</v>
      </c>
      <c r="H25" s="171" t="s">
        <v>1122</v>
      </c>
      <c r="I25" s="171" t="s">
        <v>1122</v>
      </c>
    </row>
    <row r="26">
      <c r="A26" s="176">
        <v>10</v>
      </c>
      <c r="B26" s="185">
        <v>0.152</v>
      </c>
      <c r="C26" s="185">
        <v>0.149</v>
      </c>
      <c r="D26" s="185">
        <v>0.056</v>
      </c>
      <c r="E26" s="185">
        <v>0.047</v>
      </c>
      <c r="F26" s="186">
        <v>0.0003</v>
      </c>
      <c r="G26" s="171" t="s">
        <v>1122</v>
      </c>
      <c r="H26" s="171" t="s">
        <v>1122</v>
      </c>
      <c r="I26" s="171" t="s">
        <v>1122</v>
      </c>
    </row>
    <row r="27">
      <c r="A27" s="176">
        <v>12</v>
      </c>
      <c r="B27" s="185">
        <v>0.134</v>
      </c>
      <c r="C27" s="185">
        <v>0.131</v>
      </c>
      <c r="D27" s="185">
        <v>0.046</v>
      </c>
      <c r="E27" s="185">
        <v>0.039</v>
      </c>
      <c r="F27" s="186">
        <v>0.0003</v>
      </c>
      <c r="G27" s="171" t="s">
        <v>1122</v>
      </c>
      <c r="H27" s="171" t="s">
        <v>1122</v>
      </c>
      <c r="I27" s="171" t="s">
        <v>1122</v>
      </c>
    </row>
    <row r="28">
      <c r="A28" s="176">
        <v>14</v>
      </c>
      <c r="B28" s="185">
        <v>0.121</v>
      </c>
      <c r="C28" s="185">
        <v>0.124</v>
      </c>
      <c r="D28" s="185">
        <v>0.04</v>
      </c>
      <c r="E28" s="185">
        <v>0.033</v>
      </c>
      <c r="F28" s="186">
        <v>0.00025</v>
      </c>
      <c r="G28" s="171" t="s">
        <v>1122</v>
      </c>
      <c r="H28" s="171" t="s">
        <v>1122</v>
      </c>
      <c r="I28" s="171" t="s">
        <v>1122</v>
      </c>
    </row>
    <row r="29">
      <c r="A29" s="176">
        <v>16</v>
      </c>
      <c r="B29" s="185">
        <v>0.116</v>
      </c>
      <c r="C29" s="185">
        <v>0.118</v>
      </c>
      <c r="D29" s="185">
        <v>0.037</v>
      </c>
      <c r="E29" s="185">
        <v>0.031</v>
      </c>
      <c r="F29" s="186">
        <v>0.00025</v>
      </c>
      <c r="G29" s="171" t="s">
        <v>1122</v>
      </c>
      <c r="H29" s="171" t="s">
        <v>1122</v>
      </c>
      <c r="I29" s="171" t="s">
        <v>1122</v>
      </c>
    </row>
    <row r="30">
      <c r="A30" s="176">
        <v>18</v>
      </c>
      <c r="B30" s="185">
        <v>0.113</v>
      </c>
      <c r="C30" s="185">
        <v>0.115</v>
      </c>
      <c r="D30" s="185">
        <v>0.036</v>
      </c>
      <c r="E30" s="185">
        <v>0.03</v>
      </c>
      <c r="F30" s="186">
        <v>0.0002</v>
      </c>
      <c r="G30" s="171" t="s">
        <v>1122</v>
      </c>
      <c r="H30" s="171" t="s">
        <v>1122</v>
      </c>
      <c r="I30" s="171" t="s">
        <v>1122</v>
      </c>
    </row>
    <row r="31">
      <c r="A31" s="176">
        <v>20</v>
      </c>
      <c r="B31" s="185">
        <v>0.111</v>
      </c>
      <c r="C31" s="185">
        <v>0.113</v>
      </c>
      <c r="D31" s="185">
        <v>0.035</v>
      </c>
      <c r="E31" s="185">
        <v>0.029</v>
      </c>
      <c r="F31" s="186">
        <v>0.0002</v>
      </c>
      <c r="G31" s="171" t="s">
        <v>1122</v>
      </c>
      <c r="H31" s="171" t="s">
        <v>1122</v>
      </c>
      <c r="I31" s="171" t="s">
        <v>1122</v>
      </c>
    </row>
    <row r="32">
      <c r="A32" s="176">
        <v>22</v>
      </c>
      <c r="B32" s="185">
        <v>0.109</v>
      </c>
      <c r="C32" s="185">
        <v>0.111</v>
      </c>
      <c r="D32" s="185">
        <v>0.034</v>
      </c>
      <c r="E32" s="185">
        <v>0.028</v>
      </c>
      <c r="F32" s="186">
        <v>0.00015</v>
      </c>
      <c r="G32" s="171" t="s">
        <v>1122</v>
      </c>
      <c r="H32" s="171" t="s">
        <v>1122</v>
      </c>
      <c r="I32" s="171" t="s">
        <v>1122</v>
      </c>
    </row>
    <row r="33">
      <c r="A33" s="176">
        <v>24</v>
      </c>
      <c r="B33" s="185">
        <v>0.108</v>
      </c>
      <c r="C33" s="185">
        <v>0.11</v>
      </c>
      <c r="D33" s="185">
        <v>0.033</v>
      </c>
      <c r="E33" s="185">
        <v>0.028</v>
      </c>
      <c r="F33" s="186">
        <v>0.00015</v>
      </c>
      <c r="G33" s="171" t="s">
        <v>1122</v>
      </c>
      <c r="H33" s="171" t="s">
        <v>1122</v>
      </c>
      <c r="I33" s="171" t="s">
        <v>1122</v>
      </c>
    </row>
  </sheetData>
  <mergeCells>
    <mergeCell ref="A1:H1"/>
    <mergeCell ref="A2:H2"/>
    <mergeCell ref="A3:H3"/>
    <mergeCell ref="A11:H11"/>
    <mergeCell ref="A20:H20"/>
  </mergeCells>
  <pageMargins bottom="1" footer="0.5" header="0.5" left="0.75" right="0.75" top="1"/>
  <drawing r:id="rId1"/>
</worksheet>
</file>

<file path=xl/worksheets/sheet1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3" ySplit="2"/>
    </sheetView>
  </sheetViews>
  <sheetFormatPr defaultRowHeight="0"/>
  <cols>
    <col collapsed="false" customWidth="true" hidden="false" max="2" min="2" style="0" width="40.84507042253521"/>
    <col collapsed="false" customWidth="true" hidden="false" max="4" min="4" style="0" width="19.211267605633804"/>
    <col collapsed="false" customWidth="true" hidden="false" max="6" min="6" style="0" width="8.394366197183098"/>
    <col collapsed="false" customWidth="true" hidden="false" max="8" min="8" style="0" width="8.394366197183098"/>
    <col collapsed="false" customWidth="true" hidden="false" max="1" min="1" style="0" width="46.70422535211268"/>
    <col collapsed="false" customWidth="true" hidden="false" max="3" min="3" style="0" width="21.91549295774648"/>
    <col collapsed="false" customWidth="true" hidden="false" max="5" min="5" style="0" width="8.394366197183098"/>
    <col collapsed="false" customWidth="true" hidden="false" max="7" min="7" style="0" width="8.394366197183098"/>
  </cols>
  <sheetData>
    <row customHeight="true" ht="21.42857142857143" r="1">
      <c r="A1" s="187" t="s">
        <v>1198</v>
      </c>
      <c r="B1" s="187"/>
      <c r="C1" s="187"/>
      <c r="D1" s="187"/>
      <c r="E1" s="187"/>
      <c r="F1" s="188" t="s">
        <v>1199</v>
      </c>
      <c r="G1" s="188" t="s">
        <v>1199</v>
      </c>
      <c r="H1" s="188" t="s">
        <v>1199</v>
      </c>
    </row>
    <row customHeight="true" ht="13.095238095238095" r="2">
      <c r="A2" s="189" t="s">
        <v>1200</v>
      </c>
      <c r="B2" s="189"/>
      <c r="C2" s="189"/>
      <c r="D2" s="189"/>
      <c r="E2" s="189"/>
      <c r="F2" s="188" t="s">
        <v>1199</v>
      </c>
      <c r="G2" s="188" t="s">
        <v>1199</v>
      </c>
      <c r="H2" s="188" t="s">
        <v>1199</v>
      </c>
    </row>
    <row customHeight="true" ht="15.476190476190476" r="3">
      <c r="A3" s="190" t="s">
        <v>1201</v>
      </c>
      <c r="B3" s="190"/>
      <c r="C3" s="190"/>
      <c r="D3" s="190"/>
      <c r="E3" s="190"/>
      <c r="F3" s="188" t="s">
        <v>1199</v>
      </c>
      <c r="G3" s="188" t="s">
        <v>1199</v>
      </c>
      <c r="H3" s="188" t="s">
        <v>1199</v>
      </c>
    </row>
    <row customHeight="true" ht="16.666666666666668" r="4">
      <c r="A4" s="191" t="s">
        <v>1202</v>
      </c>
      <c r="B4" s="191" t="s">
        <v>1203</v>
      </c>
      <c r="C4" s="188" t="s">
        <v>1199</v>
      </c>
      <c r="D4" s="188" t="s">
        <v>1199</v>
      </c>
      <c r="E4" s="188" t="s">
        <v>1199</v>
      </c>
      <c r="F4" s="188" t="s">
        <v>1199</v>
      </c>
      <c r="G4" s="188" t="s">
        <v>1199</v>
      </c>
      <c r="H4" s="188" t="s">
        <v>1199</v>
      </c>
    </row>
    <row r="5">
      <c r="A5" s="192" t="s">
        <v>1204</v>
      </c>
      <c r="B5" s="193" t="s">
        <v>1205</v>
      </c>
      <c r="C5" s="188" t="s">
        <v>1199</v>
      </c>
      <c r="D5" s="188" t="s">
        <v>1199</v>
      </c>
      <c r="E5" s="188" t="s">
        <v>1199</v>
      </c>
      <c r="F5" s="188" t="s">
        <v>1199</v>
      </c>
      <c r="G5" s="188" t="s">
        <v>1199</v>
      </c>
      <c r="H5" s="188" t="s">
        <v>1199</v>
      </c>
    </row>
    <row r="6">
      <c r="A6" s="192" t="s">
        <v>1206</v>
      </c>
      <c r="B6" s="193" t="s">
        <v>1207</v>
      </c>
      <c r="C6" s="188" t="s">
        <v>1199</v>
      </c>
      <c r="D6" s="188" t="s">
        <v>1199</v>
      </c>
      <c r="E6" s="188" t="s">
        <v>1199</v>
      </c>
      <c r="F6" s="188" t="s">
        <v>1199</v>
      </c>
      <c r="G6" s="188" t="s">
        <v>1199</v>
      </c>
      <c r="H6" s="188" t="s">
        <v>1199</v>
      </c>
    </row>
    <row r="7">
      <c r="A7" s="192" t="s">
        <v>1208</v>
      </c>
      <c r="B7" s="193" t="s">
        <v>1209</v>
      </c>
      <c r="C7" s="188" t="s">
        <v>1199</v>
      </c>
      <c r="D7" s="188" t="s">
        <v>1199</v>
      </c>
      <c r="E7" s="188" t="s">
        <v>1199</v>
      </c>
      <c r="F7" s="188" t="s">
        <v>1199</v>
      </c>
      <c r="G7" s="188" t="s">
        <v>1199</v>
      </c>
      <c r="H7" s="188" t="s">
        <v>1199</v>
      </c>
    </row>
    <row r="8">
      <c r="A8" s="192" t="s">
        <v>1210</v>
      </c>
      <c r="B8" s="193" t="s">
        <v>1211</v>
      </c>
      <c r="C8" s="188" t="s">
        <v>1199</v>
      </c>
      <c r="D8" s="188" t="s">
        <v>1199</v>
      </c>
      <c r="E8" s="188" t="s">
        <v>1199</v>
      </c>
      <c r="F8" s="188" t="s">
        <v>1199</v>
      </c>
      <c r="G8" s="188" t="s">
        <v>1199</v>
      </c>
      <c r="H8" s="188" t="s">
        <v>1199</v>
      </c>
    </row>
    <row r="9">
      <c r="A9" s="192" t="s">
        <v>1212</v>
      </c>
      <c r="B9" s="193" t="s">
        <v>1213</v>
      </c>
      <c r="C9" s="188" t="s">
        <v>1199</v>
      </c>
      <c r="D9" s="188" t="s">
        <v>1199</v>
      </c>
      <c r="E9" s="188" t="s">
        <v>1199</v>
      </c>
      <c r="F9" s="188" t="s">
        <v>1199</v>
      </c>
      <c r="G9" s="188" t="s">
        <v>1199</v>
      </c>
      <c r="H9" s="188" t="s">
        <v>1199</v>
      </c>
    </row>
    <row customHeight="true" ht="15.476190476190476" r="10">
      <c r="A10" s="194" t="s">
        <v>1214</v>
      </c>
      <c r="B10" s="194"/>
      <c r="C10" s="194"/>
      <c r="D10" s="194"/>
      <c r="E10" s="194"/>
      <c r="F10" s="188" t="s">
        <v>1199</v>
      </c>
      <c r="G10" s="188" t="s">
        <v>1199</v>
      </c>
      <c r="H10" s="188" t="s">
        <v>1199</v>
      </c>
    </row>
    <row customHeight="true" ht="16.666666666666668" r="11">
      <c r="A11" s="191" t="s">
        <v>1215</v>
      </c>
      <c r="B11" s="195" t="s">
        <v>1216</v>
      </c>
      <c r="C11" s="195" t="s">
        <v>1217</v>
      </c>
      <c r="D11" s="188" t="s">
        <v>1199</v>
      </c>
      <c r="E11" s="188" t="s">
        <v>1199</v>
      </c>
      <c r="F11" s="188" t="s">
        <v>1199</v>
      </c>
      <c r="G11" s="188" t="s">
        <v>1199</v>
      </c>
      <c r="H11" s="188" t="s">
        <v>1199</v>
      </c>
    </row>
    <row customHeight="true" ht="22" r="12">
      <c r="A12" s="191" t="s">
        <v>1218</v>
      </c>
      <c r="B12" s="191">
        <v>100</v>
      </c>
      <c r="C12" s="191" t="s">
        <v>1219</v>
      </c>
      <c r="D12" s="191" t="s">
        <v>1199</v>
      </c>
      <c r="E12" s="188" t="s">
        <v>1199</v>
      </c>
      <c r="F12" s="188" t="s">
        <v>1199</v>
      </c>
      <c r="G12" s="188" t="s">
        <v>1199</v>
      </c>
      <c r="H12" s="188" t="s">
        <v>1199</v>
      </c>
    </row>
    <row r="13">
      <c r="A13" s="193" t="s">
        <v>1220</v>
      </c>
      <c r="B13" s="193">
        <v>25</v>
      </c>
      <c r="C13" s="193" t="s">
        <v>1221</v>
      </c>
      <c r="D13" s="193" t="s">
        <v>1199</v>
      </c>
      <c r="E13" s="188" t="s">
        <v>1199</v>
      </c>
      <c r="F13" s="188" t="s">
        <v>1199</v>
      </c>
      <c r="G13" s="188" t="s">
        <v>1199</v>
      </c>
      <c r="H13" s="188" t="s">
        <v>1199</v>
      </c>
    </row>
    <row r="14">
      <c r="A14" s="193" t="s">
        <v>1222</v>
      </c>
      <c r="B14" s="193">
        <v>23</v>
      </c>
      <c r="C14" s="193" t="s">
        <v>1223</v>
      </c>
      <c r="D14" s="193" t="s">
        <v>1199</v>
      </c>
      <c r="E14" s="188" t="s">
        <v>1199</v>
      </c>
      <c r="F14" s="188" t="s">
        <v>1199</v>
      </c>
      <c r="G14" s="188" t="s">
        <v>1199</v>
      </c>
      <c r="H14" s="188" t="s">
        <v>1199</v>
      </c>
    </row>
    <row r="15">
      <c r="A15" s="193" t="s">
        <v>1224</v>
      </c>
      <c r="B15" s="193">
        <v>2</v>
      </c>
      <c r="C15" s="193" t="s">
        <v>1225</v>
      </c>
      <c r="D15" s="193" t="s">
        <v>1199</v>
      </c>
      <c r="E15" s="188" t="s">
        <v>1199</v>
      </c>
      <c r="F15" s="188" t="s">
        <v>1199</v>
      </c>
      <c r="G15" s="188" t="s">
        <v>1199</v>
      </c>
      <c r="H15" s="188" t="s">
        <v>1199</v>
      </c>
    </row>
    <row r="16">
      <c r="A16" s="193" t="s">
        <v>1226</v>
      </c>
      <c r="B16" s="193">
        <v>2</v>
      </c>
      <c r="C16" s="193" t="s">
        <v>1227</v>
      </c>
      <c r="D16" s="193" t="s">
        <v>1199</v>
      </c>
      <c r="E16" s="188" t="s">
        <v>1199</v>
      </c>
      <c r="F16" s="188" t="s">
        <v>1199</v>
      </c>
      <c r="G16" s="188" t="s">
        <v>1199</v>
      </c>
      <c r="H16" s="188" t="s">
        <v>1199</v>
      </c>
    </row>
    <row r="17">
      <c r="A17" s="188" t="s">
        <v>1228</v>
      </c>
      <c r="B17" s="196">
        <f>B14/(B14+B15)</f>
      </c>
      <c r="C17" s="188" t="s">
        <v>1229</v>
      </c>
      <c r="D17" s="188" t="s">
        <v>1199</v>
      </c>
      <c r="E17" s="188" t="s">
        <v>1199</v>
      </c>
      <c r="F17" s="188" t="s">
        <v>1199</v>
      </c>
      <c r="G17" s="188" t="s">
        <v>1199</v>
      </c>
      <c r="H17" s="188" t="s">
        <v>1199</v>
      </c>
    </row>
    <row customHeight="true" ht="20" r="18">
      <c r="A18" s="190" t="s">
        <v>1230</v>
      </c>
      <c r="B18" s="196">
        <f>B14/(B14+B16)</f>
      </c>
      <c r="C18" s="188" t="s">
        <v>1231</v>
      </c>
      <c r="D18" s="188" t="s">
        <v>1199</v>
      </c>
      <c r="E18" s="188" t="s">
        <v>1199</v>
      </c>
      <c r="F18" s="188" t="s">
        <v>1199</v>
      </c>
      <c r="G18" s="188" t="s">
        <v>1199</v>
      </c>
      <c r="H18" s="188" t="s">
        <v>1199</v>
      </c>
    </row>
    <row customHeight="true" ht="15.476190476190476" r="19">
      <c r="A19" s="190" t="s">
        <v>1232</v>
      </c>
      <c r="B19" s="190"/>
      <c r="C19" s="190"/>
      <c r="D19" s="190"/>
      <c r="E19" s="190"/>
      <c r="F19" s="188" t="s">
        <v>1199</v>
      </c>
      <c r="G19" s="188" t="s">
        <v>1199</v>
      </c>
      <c r="H19" s="188" t="s">
        <v>1199</v>
      </c>
    </row>
    <row customHeight="true" ht="16.666666666666668" r="20">
      <c r="A20" s="191" t="s">
        <v>1233</v>
      </c>
      <c r="B20" s="191" t="s">
        <v>1234</v>
      </c>
      <c r="C20" s="191" t="s">
        <v>1235</v>
      </c>
      <c r="D20" s="191" t="s">
        <v>1236</v>
      </c>
      <c r="E20" s="197" t="s">
        <v>1199</v>
      </c>
      <c r="F20" s="188" t="s">
        <v>1199</v>
      </c>
      <c r="G20" s="188" t="s">
        <v>1199</v>
      </c>
      <c r="H20" s="188" t="s">
        <v>1199</v>
      </c>
    </row>
    <row r="21">
      <c r="A21" s="193" t="s">
        <v>1237</v>
      </c>
      <c r="B21" s="193" t="s">
        <v>1238</v>
      </c>
      <c r="C21" s="193" t="s">
        <v>1239</v>
      </c>
      <c r="D21" s="193" t="s">
        <v>1240</v>
      </c>
      <c r="E21" s="197" t="s">
        <v>1199</v>
      </c>
      <c r="F21" s="188" t="s">
        <v>1199</v>
      </c>
      <c r="G21" s="188" t="s">
        <v>1199</v>
      </c>
      <c r="H21" s="188" t="s">
        <v>1199</v>
      </c>
    </row>
    <row r="22">
      <c r="A22" s="193" t="s">
        <v>1241</v>
      </c>
      <c r="B22" s="193" t="s">
        <v>1242</v>
      </c>
      <c r="C22" s="192" t="s">
        <v>1243</v>
      </c>
      <c r="D22" s="193" t="s">
        <v>1244</v>
      </c>
      <c r="E22" s="197" t="s">
        <v>1199</v>
      </c>
      <c r="F22" s="188" t="s">
        <v>1199</v>
      </c>
      <c r="G22" s="188" t="s">
        <v>1199</v>
      </c>
      <c r="H22" s="188" t="s">
        <v>1199</v>
      </c>
    </row>
    <row r="23">
      <c r="A23" s="193" t="s">
        <v>1245</v>
      </c>
      <c r="B23" s="193" t="s">
        <v>1246</v>
      </c>
      <c r="C23" s="192" t="s">
        <v>1247</v>
      </c>
      <c r="D23" s="193" t="s">
        <v>1248</v>
      </c>
      <c r="E23" s="197" t="s">
        <v>1199</v>
      </c>
      <c r="F23" s="188" t="s">
        <v>1199</v>
      </c>
      <c r="G23" s="188" t="s">
        <v>1199</v>
      </c>
      <c r="H23" s="188" t="s">
        <v>1199</v>
      </c>
    </row>
    <row r="24">
      <c r="A24" s="192" t="s">
        <v>1249</v>
      </c>
      <c r="B24" s="193" t="s">
        <v>1250</v>
      </c>
      <c r="C24" s="193" t="s">
        <v>1251</v>
      </c>
      <c r="D24" s="192" t="s">
        <v>1252</v>
      </c>
      <c r="E24" s="198" t="s">
        <v>1199</v>
      </c>
      <c r="F24" s="188" t="s">
        <v>1199</v>
      </c>
      <c r="G24" s="188" t="s">
        <v>1199</v>
      </c>
      <c r="H24" s="188" t="s">
        <v>1199</v>
      </c>
    </row>
    <row customHeight="true" ht="15.476190476190476" r="25">
      <c r="A25" s="194" t="s">
        <v>1253</v>
      </c>
      <c r="B25" s="194"/>
      <c r="C25" s="194"/>
      <c r="D25" s="194"/>
      <c r="E25" s="194"/>
      <c r="F25" s="188" t="s">
        <v>1199</v>
      </c>
      <c r="G25" s="188" t="s">
        <v>1199</v>
      </c>
      <c r="H25" s="188" t="s">
        <v>1199</v>
      </c>
    </row>
    <row customHeight="true" ht="16.666666666666668" r="26">
      <c r="A26" s="195" t="s">
        <v>1254</v>
      </c>
      <c r="B26" s="195" t="s">
        <v>1204</v>
      </c>
      <c r="C26" s="195" t="s">
        <v>1255</v>
      </c>
      <c r="D26" s="195" t="s">
        <v>1256</v>
      </c>
      <c r="E26" s="195" t="s">
        <v>1257</v>
      </c>
      <c r="F26" s="188" t="s">
        <v>1199</v>
      </c>
      <c r="G26" s="188" t="s">
        <v>1199</v>
      </c>
      <c r="H26" s="188" t="s">
        <v>1199</v>
      </c>
    </row>
    <row r="27">
      <c r="A27" s="188" t="s">
        <v>1258</v>
      </c>
      <c r="B27" s="188" t="s">
        <v>1259</v>
      </c>
      <c r="C27" s="188" t="s">
        <v>1260</v>
      </c>
      <c r="D27" s="188" t="s">
        <v>1261</v>
      </c>
      <c r="E27" s="199" t="s">
        <v>1262</v>
      </c>
      <c r="F27" s="188" t="s">
        <v>1199</v>
      </c>
      <c r="G27" s="188" t="s">
        <v>1199</v>
      </c>
      <c r="H27" s="188" t="s">
        <v>1199</v>
      </c>
    </row>
    <row r="28">
      <c r="A28" s="188" t="s">
        <v>1263</v>
      </c>
      <c r="B28" s="188" t="s">
        <v>1264</v>
      </c>
      <c r="C28" s="188" t="s">
        <v>1265</v>
      </c>
      <c r="D28" s="188" t="s">
        <v>1266</v>
      </c>
      <c r="E28" s="199" t="s">
        <v>1262</v>
      </c>
      <c r="F28" s="188" t="s">
        <v>1199</v>
      </c>
      <c r="G28" s="188" t="s">
        <v>1199</v>
      </c>
      <c r="H28" s="188" t="s">
        <v>1199</v>
      </c>
    </row>
    <row r="29">
      <c r="A29" s="188" t="s">
        <v>1267</v>
      </c>
      <c r="B29" s="188" t="s">
        <v>1268</v>
      </c>
      <c r="C29" s="188" t="s">
        <v>1269</v>
      </c>
      <c r="D29" s="188" t="s">
        <v>1270</v>
      </c>
      <c r="E29" s="199" t="s">
        <v>1262</v>
      </c>
      <c r="F29" s="188" t="s">
        <v>1199</v>
      </c>
      <c r="G29" s="188" t="s">
        <v>1199</v>
      </c>
      <c r="H29" s="188" t="s">
        <v>1199</v>
      </c>
    </row>
    <row r="30">
      <c r="A30" s="188" t="s">
        <v>1271</v>
      </c>
      <c r="B30" s="188" t="s">
        <v>1272</v>
      </c>
      <c r="C30" s="188" t="s">
        <v>1273</v>
      </c>
      <c r="D30" s="188" t="s">
        <v>1274</v>
      </c>
      <c r="E30" s="199" t="s">
        <v>1262</v>
      </c>
      <c r="F30" s="188" t="s">
        <v>1199</v>
      </c>
      <c r="G30" s="188" t="s">
        <v>1199</v>
      </c>
      <c r="H30" s="188" t="s">
        <v>1199</v>
      </c>
    </row>
    <row r="31">
      <c r="A31" s="188" t="s">
        <v>1275</v>
      </c>
      <c r="B31" s="188" t="s">
        <v>1276</v>
      </c>
      <c r="C31" s="188" t="s">
        <v>1277</v>
      </c>
      <c r="D31" s="188" t="s">
        <v>1278</v>
      </c>
      <c r="E31" s="199" t="s">
        <v>1279</v>
      </c>
      <c r="F31" s="188" t="s">
        <v>1199</v>
      </c>
      <c r="G31" s="188" t="s">
        <v>1199</v>
      </c>
      <c r="H31" s="188" t="s">
        <v>1199</v>
      </c>
    </row>
    <row r="32">
      <c r="A32" s="188" t="s">
        <v>1280</v>
      </c>
      <c r="B32" s="188" t="s">
        <v>1281</v>
      </c>
      <c r="C32" s="188" t="s">
        <v>1282</v>
      </c>
      <c r="D32" s="188" t="s">
        <v>1283</v>
      </c>
      <c r="E32" s="200" t="s">
        <v>1284</v>
      </c>
      <c r="F32" s="188" t="s">
        <v>1199</v>
      </c>
      <c r="G32" s="188" t="s">
        <v>1199</v>
      </c>
      <c r="H32" s="188" t="s">
        <v>1199</v>
      </c>
    </row>
  </sheetData>
  <mergeCells>
    <mergeCell ref="A1:E1"/>
    <mergeCell ref="A2:E2"/>
    <mergeCell ref="A3:E3"/>
    <mergeCell ref="A10:E10"/>
    <mergeCell ref="A19:E19"/>
    <mergeCell ref="A25:E25"/>
  </mergeCells>
  <pageMargins bottom="1" footer="0.5" header="0.5" left="0.75" right="0.75" top="1"/>
  <drawing r:id="rId1"/>
</worksheet>
</file>

<file path=xl/worksheets/sheet1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3" ySplit="2"/>
    </sheetView>
  </sheetViews>
  <sheetFormatPr defaultRowHeight="0"/>
  <cols>
    <col collapsed="false" customWidth="true" hidden="false" max="1" min="1" style="0" width="46.70422535211268"/>
    <col collapsed="false" customWidth="true" hidden="false" max="3" min="3" style="0" width="21.014084507042252"/>
    <col collapsed="false" customWidth="true" hidden="false" max="5" min="5" style="0" width="8.394366197183098"/>
    <col collapsed="false" customWidth="true" hidden="false" max="7" min="7" style="0" width="7.267605633802817"/>
    <col collapsed="false" customWidth="true" hidden="false" max="2" min="2" style="0" width="13.80281690140845"/>
    <col collapsed="false" customWidth="true" hidden="false" max="4" min="4" style="0" width="41.74647887323944"/>
    <col collapsed="false" customWidth="true" hidden="false" max="6" min="6" style="0" width="11.774647887323944"/>
    <col collapsed="false" customWidth="true" hidden="false" max="8" min="8" style="0" width="25.295774647887324"/>
  </cols>
  <sheetData>
    <row customHeight="true" ht="21.42857142857143" r="1">
      <c r="A1" s="201" t="s">
        <v>1285</v>
      </c>
      <c r="B1" s="201"/>
      <c r="C1" s="201"/>
      <c r="D1" s="201"/>
      <c r="E1" s="201"/>
      <c r="F1" s="202" t="s">
        <v>1286</v>
      </c>
      <c r="G1" s="202" t="s">
        <v>1286</v>
      </c>
      <c r="H1" s="202" t="s">
        <v>1286</v>
      </c>
    </row>
    <row customHeight="true" ht="13.095238095238095" r="2">
      <c r="A2" s="203" t="s">
        <v>1287</v>
      </c>
      <c r="B2" s="203"/>
      <c r="C2" s="203"/>
      <c r="D2" s="203"/>
      <c r="E2" s="203"/>
      <c r="F2" s="202" t="s">
        <v>1286</v>
      </c>
      <c r="G2" s="202" t="s">
        <v>1286</v>
      </c>
      <c r="H2" s="202" t="s">
        <v>1286</v>
      </c>
    </row>
    <row customHeight="true" ht="15.476190476190476" r="3">
      <c r="A3" s="204" t="s">
        <v>1288</v>
      </c>
      <c r="B3" s="204"/>
      <c r="C3" s="204"/>
      <c r="D3" s="204"/>
      <c r="E3" s="204"/>
      <c r="F3" s="202" t="s">
        <v>1286</v>
      </c>
      <c r="G3" s="202" t="s">
        <v>1286</v>
      </c>
      <c r="H3" s="202" t="s">
        <v>1286</v>
      </c>
    </row>
    <row customHeight="true" ht="16.666666666666668" r="4">
      <c r="A4" s="205" t="s">
        <v>1289</v>
      </c>
      <c r="B4" s="205" t="s">
        <v>1290</v>
      </c>
      <c r="C4" s="205" t="s">
        <v>1291</v>
      </c>
      <c r="D4" s="202" t="s">
        <v>1286</v>
      </c>
      <c r="E4" s="202" t="s">
        <v>1286</v>
      </c>
      <c r="F4" s="202" t="s">
        <v>1286</v>
      </c>
      <c r="G4" s="202" t="s">
        <v>1286</v>
      </c>
      <c r="H4" s="202" t="s">
        <v>1286</v>
      </c>
    </row>
    <row r="5">
      <c r="A5" s="206" t="s">
        <v>1292</v>
      </c>
      <c r="B5" s="207" t="s">
        <v>1293</v>
      </c>
      <c r="C5" s="207" t="s">
        <v>1294</v>
      </c>
      <c r="D5" s="202" t="s">
        <v>1286</v>
      </c>
      <c r="E5" s="202" t="s">
        <v>1286</v>
      </c>
      <c r="F5" s="202" t="s">
        <v>1286</v>
      </c>
      <c r="G5" s="202" t="s">
        <v>1286</v>
      </c>
      <c r="H5" s="202" t="s">
        <v>1286</v>
      </c>
    </row>
    <row r="6">
      <c r="A6" s="206" t="s">
        <v>1295</v>
      </c>
      <c r="B6" s="207" t="s">
        <v>1296</v>
      </c>
      <c r="C6" s="207" t="s">
        <v>1294</v>
      </c>
      <c r="D6" s="202" t="s">
        <v>1286</v>
      </c>
      <c r="E6" s="202" t="s">
        <v>1286</v>
      </c>
      <c r="F6" s="202" t="s">
        <v>1286</v>
      </c>
      <c r="G6" s="202" t="s">
        <v>1286</v>
      </c>
      <c r="H6" s="202" t="s">
        <v>1286</v>
      </c>
    </row>
    <row r="7">
      <c r="A7" s="207" t="s">
        <v>1297</v>
      </c>
      <c r="B7" s="207" t="s">
        <v>1298</v>
      </c>
      <c r="C7" s="207" t="s">
        <v>1299</v>
      </c>
      <c r="D7" s="202" t="s">
        <v>1286</v>
      </c>
      <c r="E7" s="202" t="s">
        <v>1286</v>
      </c>
      <c r="F7" s="202" t="s">
        <v>1286</v>
      </c>
      <c r="G7" s="202" t="s">
        <v>1286</v>
      </c>
      <c r="H7" s="202" t="s">
        <v>1286</v>
      </c>
    </row>
    <row r="8">
      <c r="A8" s="207" t="s">
        <v>1300</v>
      </c>
      <c r="B8" s="207" t="s">
        <v>1301</v>
      </c>
      <c r="C8" s="207" t="s">
        <v>1302</v>
      </c>
      <c r="D8" s="202" t="s">
        <v>1286</v>
      </c>
      <c r="E8" s="202" t="s">
        <v>1286</v>
      </c>
      <c r="F8" s="202" t="s">
        <v>1286</v>
      </c>
      <c r="G8" s="202" t="s">
        <v>1286</v>
      </c>
      <c r="H8" s="202" t="s">
        <v>1286</v>
      </c>
    </row>
    <row r="9">
      <c r="A9" s="206" t="s">
        <v>1303</v>
      </c>
      <c r="B9" s="206" t="s">
        <v>1304</v>
      </c>
      <c r="C9" s="207" t="s">
        <v>1305</v>
      </c>
      <c r="D9" s="202" t="s">
        <v>1286</v>
      </c>
      <c r="E9" s="202" t="s">
        <v>1286</v>
      </c>
      <c r="F9" s="202" t="s">
        <v>1286</v>
      </c>
      <c r="G9" s="202" t="s">
        <v>1286</v>
      </c>
      <c r="H9" s="202" t="s">
        <v>1286</v>
      </c>
    </row>
    <row customHeight="true" ht="15.476190476190476" r="10">
      <c r="A10" s="208" t="s">
        <v>1306</v>
      </c>
      <c r="B10" s="208"/>
      <c r="C10" s="208"/>
      <c r="D10" s="208"/>
      <c r="E10" s="208"/>
      <c r="F10" s="202" t="s">
        <v>1286</v>
      </c>
      <c r="G10" s="202" t="s">
        <v>1286</v>
      </c>
      <c r="H10" s="202" t="s">
        <v>1286</v>
      </c>
    </row>
    <row customHeight="true" ht="16.666666666666668" r="11">
      <c r="A11" s="205" t="s">
        <v>1307</v>
      </c>
      <c r="B11" s="209" t="s">
        <v>1308</v>
      </c>
      <c r="C11" s="209" t="s">
        <v>1309</v>
      </c>
      <c r="D11" s="209" t="s">
        <v>1310</v>
      </c>
      <c r="E11" s="202" t="s">
        <v>1286</v>
      </c>
      <c r="F11" s="202" t="s">
        <v>1286</v>
      </c>
      <c r="G11" s="202" t="s">
        <v>1286</v>
      </c>
      <c r="H11" s="202" t="s">
        <v>1286</v>
      </c>
    </row>
    <row customHeight="true" ht="22" r="12">
      <c r="A12" s="205" t="s">
        <v>1311</v>
      </c>
      <c r="B12" s="205" t="s">
        <v>1312</v>
      </c>
      <c r="C12" s="205" t="s">
        <v>1313</v>
      </c>
      <c r="D12" s="205" t="s">
        <v>1314</v>
      </c>
      <c r="E12" s="202" t="s">
        <v>1286</v>
      </c>
      <c r="F12" s="202" t="s">
        <v>1286</v>
      </c>
      <c r="G12" s="202" t="s">
        <v>1286</v>
      </c>
      <c r="H12" s="202" t="s">
        <v>1286</v>
      </c>
    </row>
    <row r="13">
      <c r="A13" s="206" t="s">
        <v>1315</v>
      </c>
      <c r="B13" s="206" t="s">
        <v>1316</v>
      </c>
      <c r="C13" s="206" t="s">
        <v>1313</v>
      </c>
      <c r="D13" s="210" t="s">
        <v>1314</v>
      </c>
      <c r="E13" s="202" t="s">
        <v>1286</v>
      </c>
      <c r="F13" s="202" t="s">
        <v>1286</v>
      </c>
      <c r="G13" s="202" t="s">
        <v>1286</v>
      </c>
      <c r="H13" s="202" t="s">
        <v>1286</v>
      </c>
    </row>
    <row r="14">
      <c r="A14" s="206" t="s">
        <v>1317</v>
      </c>
      <c r="B14" s="206" t="s">
        <v>1318</v>
      </c>
      <c r="C14" s="206" t="s">
        <v>1313</v>
      </c>
      <c r="D14" s="210" t="s">
        <v>1314</v>
      </c>
      <c r="E14" s="202" t="s">
        <v>1286</v>
      </c>
      <c r="F14" s="202" t="s">
        <v>1286</v>
      </c>
      <c r="G14" s="202" t="s">
        <v>1286</v>
      </c>
      <c r="H14" s="202" t="s">
        <v>1286</v>
      </c>
    </row>
    <row r="15">
      <c r="A15" s="206" t="s">
        <v>1311</v>
      </c>
      <c r="B15" s="206" t="s">
        <v>1319</v>
      </c>
      <c r="C15" s="206" t="s">
        <v>1320</v>
      </c>
      <c r="D15" s="210" t="s">
        <v>1321</v>
      </c>
      <c r="E15" s="202" t="s">
        <v>1286</v>
      </c>
      <c r="F15" s="202" t="s">
        <v>1286</v>
      </c>
      <c r="G15" s="202" t="s">
        <v>1286</v>
      </c>
      <c r="H15" s="202" t="s">
        <v>1286</v>
      </c>
    </row>
    <row r="16">
      <c r="A16" s="206" t="s">
        <v>1322</v>
      </c>
      <c r="B16" s="207" t="s">
        <v>1323</v>
      </c>
      <c r="C16" s="206" t="s">
        <v>1313</v>
      </c>
      <c r="D16" s="210" t="s">
        <v>1314</v>
      </c>
      <c r="E16" s="202" t="s">
        <v>1286</v>
      </c>
      <c r="F16" s="202" t="s">
        <v>1286</v>
      </c>
      <c r="G16" s="202" t="s">
        <v>1286</v>
      </c>
      <c r="H16" s="202" t="s">
        <v>1286</v>
      </c>
    </row>
    <row customHeight="true" ht="15.476190476190476" r="17">
      <c r="A17" s="204" t="s">
        <v>1324</v>
      </c>
      <c r="B17" s="204"/>
      <c r="C17" s="204"/>
      <c r="D17" s="204"/>
      <c r="E17" s="204"/>
      <c r="F17" s="202" t="s">
        <v>1286</v>
      </c>
      <c r="G17" s="202" t="s">
        <v>1286</v>
      </c>
      <c r="H17" s="202" t="s">
        <v>1286</v>
      </c>
    </row>
    <row customHeight="true" ht="16.666666666666668" r="18">
      <c r="A18" s="209" t="s">
        <v>1325</v>
      </c>
      <c r="B18" s="209" t="s">
        <v>1326</v>
      </c>
      <c r="C18" s="209" t="s">
        <v>1327</v>
      </c>
      <c r="D18" s="209" t="s">
        <v>1328</v>
      </c>
      <c r="E18" s="209" t="s">
        <v>1329</v>
      </c>
      <c r="F18" s="202" t="s">
        <v>1286</v>
      </c>
      <c r="G18" s="202" t="s">
        <v>1286</v>
      </c>
      <c r="H18" s="202" t="s">
        <v>1286</v>
      </c>
    </row>
    <row customHeight="true" ht="20" r="19">
      <c r="A19" s="204" t="s">
        <v>1330</v>
      </c>
      <c r="B19" s="211">
        <v>80</v>
      </c>
      <c r="C19" s="211">
        <v>0</v>
      </c>
      <c r="D19" s="211">
        <v>80</v>
      </c>
      <c r="E19" s="212" t="s">
        <v>1331</v>
      </c>
      <c r="F19" s="202" t="s">
        <v>1286</v>
      </c>
      <c r="G19" s="202" t="s">
        <v>1286</v>
      </c>
      <c r="H19" s="202" t="s">
        <v>1286</v>
      </c>
    </row>
    <row customHeight="true" ht="22" r="20">
      <c r="A20" s="205" t="s">
        <v>1332</v>
      </c>
      <c r="B20" s="213">
        <v>135</v>
      </c>
      <c r="C20" s="213">
        <v>9</v>
      </c>
      <c r="D20" s="213">
        <v>135</v>
      </c>
      <c r="E20" s="214" t="s">
        <v>1331</v>
      </c>
      <c r="F20" s="202" t="s">
        <v>1286</v>
      </c>
      <c r="G20" s="202" t="s">
        <v>1286</v>
      </c>
      <c r="H20" s="202" t="s">
        <v>1286</v>
      </c>
    </row>
    <row r="21">
      <c r="A21" s="207" t="s">
        <v>1333</v>
      </c>
      <c r="B21" s="215">
        <v>6</v>
      </c>
      <c r="C21" s="215">
        <v>0</v>
      </c>
      <c r="D21" s="215">
        <v>6</v>
      </c>
      <c r="E21" s="216" t="s">
        <v>1331</v>
      </c>
      <c r="F21" s="202" t="s">
        <v>1286</v>
      </c>
      <c r="G21" s="202" t="s">
        <v>1286</v>
      </c>
      <c r="H21" s="202" t="s">
        <v>1286</v>
      </c>
    </row>
    <row r="22">
      <c r="A22" s="207" t="s">
        <v>1334</v>
      </c>
      <c r="B22" s="215">
        <v>12</v>
      </c>
      <c r="C22" s="215">
        <v>0</v>
      </c>
      <c r="D22" s="215">
        <v>12</v>
      </c>
      <c r="E22" s="216" t="s">
        <v>1331</v>
      </c>
      <c r="F22" s="202" t="s">
        <v>1286</v>
      </c>
      <c r="G22" s="202" t="s">
        <v>1286</v>
      </c>
      <c r="H22" s="202" t="s">
        <v>1286</v>
      </c>
    </row>
    <row r="23">
      <c r="A23" s="207" t="s">
        <v>1335</v>
      </c>
      <c r="B23" s="215">
        <f>SUM(B19:B22)</f>
      </c>
      <c r="C23" s="215">
        <f>SUM(C19:C22)</f>
      </c>
      <c r="D23" s="215">
        <f>SUM(D19:D22)</f>
      </c>
      <c r="E23" s="216" t="s">
        <v>1331</v>
      </c>
      <c r="F23" s="202" t="s">
        <v>1286</v>
      </c>
      <c r="G23" s="202" t="s">
        <v>1286</v>
      </c>
      <c r="H23" s="202" t="s">
        <v>1286</v>
      </c>
    </row>
    <row customHeight="true" ht="15.476190476190476" r="24">
      <c r="A24" s="204" t="s">
        <v>1336</v>
      </c>
      <c r="B24" s="204"/>
      <c r="C24" s="204"/>
      <c r="D24" s="204"/>
      <c r="E24" s="204"/>
      <c r="F24" s="202" t="s">
        <v>1286</v>
      </c>
      <c r="G24" s="202" t="s">
        <v>1286</v>
      </c>
      <c r="H24" s="202" t="s">
        <v>1286</v>
      </c>
    </row>
    <row customHeight="true" ht="16.666666666666668" r="25">
      <c r="A25" s="209" t="s">
        <v>1337</v>
      </c>
      <c r="B25" s="209" t="s">
        <v>1338</v>
      </c>
      <c r="C25" s="209" t="s">
        <v>1339</v>
      </c>
      <c r="D25" s="209" t="s">
        <v>1340</v>
      </c>
      <c r="E25" s="202" t="s">
        <v>1286</v>
      </c>
      <c r="F25" s="202" t="s">
        <v>1286</v>
      </c>
      <c r="G25" s="202" t="s">
        <v>1286</v>
      </c>
      <c r="H25" s="202" t="s">
        <v>1286</v>
      </c>
    </row>
    <row customHeight="true" ht="20" r="26">
      <c r="A26" s="204" t="s">
        <v>1341</v>
      </c>
      <c r="B26" s="202" t="s">
        <v>1342</v>
      </c>
      <c r="C26" s="212" t="s">
        <v>1328</v>
      </c>
      <c r="D26" s="202" t="s">
        <v>1343</v>
      </c>
      <c r="E26" s="202" t="s">
        <v>1286</v>
      </c>
      <c r="F26" s="202" t="s">
        <v>1286</v>
      </c>
      <c r="G26" s="202" t="s">
        <v>1286</v>
      </c>
      <c r="H26" s="202" t="s">
        <v>1286</v>
      </c>
    </row>
    <row customHeight="true" ht="22" r="27">
      <c r="A27" s="205" t="s">
        <v>1341</v>
      </c>
      <c r="B27" s="205" t="s">
        <v>1344</v>
      </c>
      <c r="C27" s="214" t="s">
        <v>1328</v>
      </c>
      <c r="D27" s="202" t="s">
        <v>1345</v>
      </c>
      <c r="E27" s="202" t="s">
        <v>1286</v>
      </c>
      <c r="F27" s="202" t="s">
        <v>1286</v>
      </c>
      <c r="G27" s="202" t="s">
        <v>1286</v>
      </c>
      <c r="H27" s="202" t="s">
        <v>1286</v>
      </c>
    </row>
    <row r="28">
      <c r="A28" s="207" t="s">
        <v>1341</v>
      </c>
      <c r="B28" s="216" t="s">
        <v>1346</v>
      </c>
      <c r="C28" s="217" t="s">
        <v>1328</v>
      </c>
      <c r="D28" s="202" t="s">
        <v>1347</v>
      </c>
      <c r="E28" s="202" t="s">
        <v>1286</v>
      </c>
      <c r="F28" s="202" t="s">
        <v>1286</v>
      </c>
      <c r="G28" s="202" t="s">
        <v>1286</v>
      </c>
      <c r="H28" s="202" t="s">
        <v>1286</v>
      </c>
    </row>
    <row r="29">
      <c r="A29" s="207" t="s">
        <v>1348</v>
      </c>
      <c r="B29" s="216" t="s">
        <v>1349</v>
      </c>
      <c r="C29" s="217" t="s">
        <v>1328</v>
      </c>
      <c r="D29" s="202" t="s">
        <v>1350</v>
      </c>
      <c r="E29" s="202" t="s">
        <v>1286</v>
      </c>
      <c r="F29" s="202" t="s">
        <v>1286</v>
      </c>
      <c r="G29" s="202" t="s">
        <v>1286</v>
      </c>
      <c r="H29" s="202" t="s">
        <v>1286</v>
      </c>
    </row>
    <row r="30">
      <c r="A30" s="206" t="s">
        <v>1351</v>
      </c>
      <c r="B30" s="216" t="s">
        <v>1349</v>
      </c>
      <c r="C30" s="217" t="s">
        <v>1328</v>
      </c>
      <c r="D30" s="202" t="s">
        <v>1352</v>
      </c>
      <c r="E30" s="202" t="s">
        <v>1286</v>
      </c>
      <c r="F30" s="202" t="s">
        <v>1286</v>
      </c>
      <c r="G30" s="202" t="s">
        <v>1286</v>
      </c>
      <c r="H30" s="202" t="s">
        <v>1286</v>
      </c>
    </row>
    <row r="31">
      <c r="A31" s="206" t="s">
        <v>1353</v>
      </c>
      <c r="B31" s="216" t="s">
        <v>1349</v>
      </c>
      <c r="C31" s="217" t="s">
        <v>1328</v>
      </c>
      <c r="D31" s="202" t="s">
        <v>1354</v>
      </c>
      <c r="E31" s="202" t="s">
        <v>1286</v>
      </c>
      <c r="F31" s="202" t="s">
        <v>1286</v>
      </c>
      <c r="G31" s="202" t="s">
        <v>1286</v>
      </c>
      <c r="H31" s="202" t="s">
        <v>1286</v>
      </c>
    </row>
    <row r="32">
      <c r="A32" s="207" t="s">
        <v>1355</v>
      </c>
      <c r="B32" s="216" t="s">
        <v>1349</v>
      </c>
      <c r="C32" s="217" t="s">
        <v>1328</v>
      </c>
      <c r="D32" s="202" t="s">
        <v>1356</v>
      </c>
      <c r="E32" s="202" t="s">
        <v>1286</v>
      </c>
      <c r="F32" s="202" t="s">
        <v>1286</v>
      </c>
      <c r="G32" s="202" t="s">
        <v>1286</v>
      </c>
      <c r="H32" s="202" t="s">
        <v>1286</v>
      </c>
    </row>
    <row r="33">
      <c r="A33" s="207" t="s">
        <v>1357</v>
      </c>
      <c r="B33" s="216" t="s">
        <v>1349</v>
      </c>
      <c r="C33" s="217" t="s">
        <v>1328</v>
      </c>
      <c r="D33" s="202" t="s">
        <v>1358</v>
      </c>
      <c r="E33" s="202" t="s">
        <v>1286</v>
      </c>
      <c r="F33" s="202" t="s">
        <v>1286</v>
      </c>
      <c r="G33" s="202" t="s">
        <v>1286</v>
      </c>
      <c r="H33" s="202" t="s">
        <v>1286</v>
      </c>
    </row>
    <row customHeight="true" ht="15.476190476190476" r="34">
      <c r="A34" s="218" t="s">
        <v>1359</v>
      </c>
      <c r="B34" s="218"/>
      <c r="C34" s="218"/>
      <c r="D34" s="218"/>
      <c r="E34" s="218"/>
      <c r="F34" s="218"/>
      <c r="G34" s="218"/>
      <c r="H34" s="218"/>
    </row>
    <row r="35">
      <c r="A35" t="s">
        <v>1360</v>
      </c>
      <c r="B35" t="s">
        <v>1286</v>
      </c>
      <c r="C35" t="s">
        <v>1286</v>
      </c>
      <c r="D35" t="s">
        <v>1286</v>
      </c>
      <c r="E35" t="s">
        <v>1286</v>
      </c>
      <c r="F35" t="s">
        <v>1286</v>
      </c>
      <c r="G35" t="s">
        <v>1286</v>
      </c>
      <c r="H35" t="s">
        <v>1286</v>
      </c>
    </row>
    <row customHeight="true" ht="15.476190476190476" r="36">
      <c r="A36" s="219" t="s">
        <v>1361</v>
      </c>
      <c r="B36" s="219" t="s">
        <v>1362</v>
      </c>
      <c r="C36" s="219" t="s">
        <v>1363</v>
      </c>
      <c r="D36" s="219" t="s">
        <v>1364</v>
      </c>
      <c r="E36" s="219" t="s">
        <v>1365</v>
      </c>
      <c r="F36" s="219" t="s">
        <v>1366</v>
      </c>
      <c r="G36" s="219" t="s">
        <v>1329</v>
      </c>
      <c r="H36" s="219" t="s">
        <v>1340</v>
      </c>
    </row>
    <row r="37">
      <c r="A37" s="220">
        <v>1</v>
      </c>
      <c r="B37" s="221" t="s">
        <v>1353</v>
      </c>
      <c r="C37" s="221" t="s">
        <v>1367</v>
      </c>
      <c r="D37" s="221" t="s">
        <v>1368</v>
      </c>
      <c r="E37" s="222">
        <v>45.5</v>
      </c>
      <c r="F37" s="223">
        <v>1.24</v>
      </c>
      <c r="G37" s="220" t="s">
        <v>1369</v>
      </c>
      <c r="H37" s="221" t="s">
        <v>1370</v>
      </c>
    </row>
    <row r="38">
      <c r="A38" s="220">
        <v>2</v>
      </c>
      <c r="B38" s="221" t="s">
        <v>1371</v>
      </c>
      <c r="C38" s="221" t="s">
        <v>1372</v>
      </c>
      <c r="D38" s="221" t="s">
        <v>1373</v>
      </c>
      <c r="E38" s="222">
        <v>37.8</v>
      </c>
      <c r="F38" s="223">
        <v>1.68</v>
      </c>
      <c r="G38" s="220" t="s">
        <v>1369</v>
      </c>
      <c r="H38" s="221" t="s">
        <v>1370</v>
      </c>
    </row>
    <row r="39">
      <c r="A39" s="220">
        <v>3</v>
      </c>
      <c r="B39" s="221" t="s">
        <v>1374</v>
      </c>
      <c r="C39" s="221" t="s">
        <v>1375</v>
      </c>
      <c r="D39" s="221" t="s">
        <v>1376</v>
      </c>
      <c r="E39" s="222">
        <v>41.3</v>
      </c>
      <c r="F39" s="223">
        <v>0.5</v>
      </c>
      <c r="G39" s="220" t="s">
        <v>1369</v>
      </c>
      <c r="H39" s="221" t="s">
        <v>1370</v>
      </c>
    </row>
    <row r="40">
      <c r="A40" s="220">
        <v>4</v>
      </c>
      <c r="B40" s="221" t="s">
        <v>1374</v>
      </c>
      <c r="C40" s="221" t="s">
        <v>1375</v>
      </c>
      <c r="D40" s="221" t="s">
        <v>1376</v>
      </c>
      <c r="E40" s="222">
        <v>36.2</v>
      </c>
      <c r="F40" s="223">
        <v>0.83</v>
      </c>
      <c r="G40" s="220" t="s">
        <v>1369</v>
      </c>
      <c r="H40" s="221" t="s">
        <v>1370</v>
      </c>
    </row>
    <row r="41">
      <c r="A41" s="220">
        <v>5</v>
      </c>
      <c r="B41" s="221" t="s">
        <v>1351</v>
      </c>
      <c r="C41" s="221" t="s">
        <v>1377</v>
      </c>
      <c r="D41" s="221" t="s">
        <v>1378</v>
      </c>
      <c r="E41" s="222">
        <v>41.8</v>
      </c>
      <c r="F41" s="223">
        <v>1.21</v>
      </c>
      <c r="G41" s="220" t="s">
        <v>1369</v>
      </c>
      <c r="H41" s="221" t="s">
        <v>1370</v>
      </c>
    </row>
    <row r="42">
      <c r="A42" s="220">
        <v>6</v>
      </c>
      <c r="B42" s="221" t="s">
        <v>1353</v>
      </c>
      <c r="C42" s="221" t="s">
        <v>1379</v>
      </c>
      <c r="D42" s="221" t="s">
        <v>1368</v>
      </c>
      <c r="E42" s="222">
        <v>43</v>
      </c>
      <c r="F42" s="223">
        <v>1.26</v>
      </c>
      <c r="G42" s="220" t="s">
        <v>1369</v>
      </c>
      <c r="H42" s="221" t="s">
        <v>1370</v>
      </c>
    </row>
    <row r="43">
      <c r="A43" s="220">
        <v>7</v>
      </c>
      <c r="B43" s="221" t="s">
        <v>1374</v>
      </c>
      <c r="C43" s="221" t="s">
        <v>1380</v>
      </c>
      <c r="D43" s="221" t="s">
        <v>1376</v>
      </c>
      <c r="E43" s="222">
        <v>43.6</v>
      </c>
      <c r="F43" s="223">
        <v>0.68</v>
      </c>
      <c r="G43" s="220" t="s">
        <v>1369</v>
      </c>
      <c r="H43" s="221" t="s">
        <v>1370</v>
      </c>
    </row>
    <row r="44">
      <c r="A44" s="220">
        <v>8</v>
      </c>
      <c r="B44" s="221" t="s">
        <v>1374</v>
      </c>
      <c r="C44" s="221" t="s">
        <v>1377</v>
      </c>
      <c r="D44" s="221" t="s">
        <v>1376</v>
      </c>
      <c r="E44" s="222">
        <v>50.9</v>
      </c>
      <c r="F44" s="223">
        <v>3.23</v>
      </c>
      <c r="G44" s="220" t="s">
        <v>1381</v>
      </c>
      <c r="H44" s="221" t="s">
        <v>1382</v>
      </c>
    </row>
    <row r="45">
      <c r="A45" s="220">
        <v>9</v>
      </c>
      <c r="B45" s="221" t="s">
        <v>1374</v>
      </c>
      <c r="C45" s="221" t="s">
        <v>1375</v>
      </c>
      <c r="D45" s="221" t="s">
        <v>1376</v>
      </c>
      <c r="E45" s="222">
        <v>38.4</v>
      </c>
      <c r="F45" s="223">
        <v>1.82</v>
      </c>
      <c r="G45" s="220" t="s">
        <v>1369</v>
      </c>
      <c r="H45" s="221" t="s">
        <v>1370</v>
      </c>
    </row>
    <row r="46">
      <c r="A46" s="220">
        <v>10</v>
      </c>
      <c r="B46" s="221" t="s">
        <v>1371</v>
      </c>
      <c r="C46" s="221" t="s">
        <v>1380</v>
      </c>
      <c r="D46" s="221" t="s">
        <v>1373</v>
      </c>
      <c r="E46" s="222">
        <v>44.8</v>
      </c>
      <c r="F46" s="223">
        <v>1.2</v>
      </c>
      <c r="G46" s="220" t="s">
        <v>1369</v>
      </c>
      <c r="H46" s="221" t="s">
        <v>1370</v>
      </c>
    </row>
    <row r="47">
      <c r="A47" s="220">
        <v>11</v>
      </c>
      <c r="B47" s="221" t="s">
        <v>1353</v>
      </c>
      <c r="C47" s="221" t="s">
        <v>1380</v>
      </c>
      <c r="D47" s="221" t="s">
        <v>1368</v>
      </c>
      <c r="E47" s="222">
        <v>43.1</v>
      </c>
      <c r="F47" s="223">
        <v>1.92</v>
      </c>
      <c r="G47" s="220" t="s">
        <v>1369</v>
      </c>
      <c r="H47" s="221" t="s">
        <v>1370</v>
      </c>
    </row>
    <row r="48">
      <c r="A48" s="220">
        <v>12</v>
      </c>
      <c r="B48" s="221" t="s">
        <v>1353</v>
      </c>
      <c r="C48" s="221" t="s">
        <v>1383</v>
      </c>
      <c r="D48" s="221" t="s">
        <v>1368</v>
      </c>
      <c r="E48" s="222">
        <v>39.6</v>
      </c>
      <c r="F48" s="223">
        <v>0.7</v>
      </c>
      <c r="G48" s="220" t="s">
        <v>1369</v>
      </c>
      <c r="H48" s="221" t="s">
        <v>1370</v>
      </c>
    </row>
    <row r="49">
      <c r="A49" s="220">
        <v>13</v>
      </c>
      <c r="B49" s="221" t="s">
        <v>1353</v>
      </c>
      <c r="C49" s="221" t="s">
        <v>1377</v>
      </c>
      <c r="D49" s="221" t="s">
        <v>1368</v>
      </c>
      <c r="E49" s="222">
        <v>38.7</v>
      </c>
      <c r="F49" s="223">
        <v>0.55</v>
      </c>
      <c r="G49" s="220" t="s">
        <v>1369</v>
      </c>
      <c r="H49" s="221" t="s">
        <v>1370</v>
      </c>
    </row>
    <row r="50">
      <c r="A50" s="220">
        <v>14</v>
      </c>
      <c r="B50" s="221" t="s">
        <v>1351</v>
      </c>
      <c r="C50" s="221" t="s">
        <v>1384</v>
      </c>
      <c r="D50" s="221" t="s">
        <v>1378</v>
      </c>
      <c r="E50" s="222">
        <v>44</v>
      </c>
      <c r="F50" s="223">
        <v>1.04</v>
      </c>
      <c r="G50" s="220" t="s">
        <v>1369</v>
      </c>
      <c r="H50" s="221" t="s">
        <v>1370</v>
      </c>
    </row>
    <row r="51">
      <c r="A51" s="220">
        <v>15</v>
      </c>
      <c r="B51" s="221" t="s">
        <v>1374</v>
      </c>
      <c r="C51" s="221" t="s">
        <v>1377</v>
      </c>
      <c r="D51" s="221" t="s">
        <v>1376</v>
      </c>
      <c r="E51" s="222">
        <v>42.9</v>
      </c>
      <c r="F51" s="223">
        <v>2.09</v>
      </c>
      <c r="G51" s="220" t="s">
        <v>1369</v>
      </c>
      <c r="H51" s="221" t="s">
        <v>1370</v>
      </c>
    </row>
    <row r="52">
      <c r="A52" s="220">
        <v>16</v>
      </c>
      <c r="B52" s="221" t="s">
        <v>1351</v>
      </c>
      <c r="C52" s="221" t="s">
        <v>1383</v>
      </c>
      <c r="D52" s="221" t="s">
        <v>1378</v>
      </c>
      <c r="E52" s="222">
        <v>44.4</v>
      </c>
      <c r="F52" s="223">
        <v>1.37</v>
      </c>
      <c r="G52" s="220" t="s">
        <v>1369</v>
      </c>
      <c r="H52" s="221" t="s">
        <v>1370</v>
      </c>
    </row>
    <row r="53">
      <c r="A53" s="220">
        <v>17</v>
      </c>
      <c r="B53" s="221" t="s">
        <v>1374</v>
      </c>
      <c r="C53" s="221" t="s">
        <v>1372</v>
      </c>
      <c r="D53" s="221" t="s">
        <v>1376</v>
      </c>
      <c r="E53" s="222">
        <v>39.5</v>
      </c>
      <c r="F53" s="223">
        <v>1.23</v>
      </c>
      <c r="G53" s="220" t="s">
        <v>1369</v>
      </c>
      <c r="H53" s="221" t="s">
        <v>1370</v>
      </c>
    </row>
    <row r="54">
      <c r="A54" s="220">
        <v>18</v>
      </c>
      <c r="B54" s="221" t="s">
        <v>1374</v>
      </c>
      <c r="C54" s="221" t="s">
        <v>1385</v>
      </c>
      <c r="D54" s="221" t="s">
        <v>1376</v>
      </c>
      <c r="E54" s="222">
        <v>36.5</v>
      </c>
      <c r="F54" s="223">
        <v>0.66</v>
      </c>
      <c r="G54" s="220" t="s">
        <v>1369</v>
      </c>
      <c r="H54" s="221" t="s">
        <v>1370</v>
      </c>
    </row>
    <row r="55">
      <c r="A55" s="220">
        <v>19</v>
      </c>
      <c r="B55" s="221" t="s">
        <v>1371</v>
      </c>
      <c r="C55" s="221" t="s">
        <v>1386</v>
      </c>
      <c r="D55" s="221" t="s">
        <v>1373</v>
      </c>
      <c r="E55" s="222">
        <v>36.7</v>
      </c>
      <c r="F55" s="223">
        <v>0.6</v>
      </c>
      <c r="G55" s="220" t="s">
        <v>1369</v>
      </c>
      <c r="H55" s="221" t="s">
        <v>1370</v>
      </c>
    </row>
    <row r="56">
      <c r="A56" s="220">
        <v>20</v>
      </c>
      <c r="B56" s="221" t="s">
        <v>1374</v>
      </c>
      <c r="C56" s="221" t="s">
        <v>1375</v>
      </c>
      <c r="D56" s="221" t="s">
        <v>1376</v>
      </c>
      <c r="E56" s="222">
        <v>37.2</v>
      </c>
      <c r="F56" s="223">
        <v>0.64</v>
      </c>
      <c r="G56" s="220" t="s">
        <v>1369</v>
      </c>
      <c r="H56" s="221" t="s">
        <v>1370</v>
      </c>
    </row>
    <row r="57">
      <c r="A57" s="220">
        <v>21</v>
      </c>
      <c r="B57" s="221" t="s">
        <v>1374</v>
      </c>
      <c r="C57" s="221" t="s">
        <v>1380</v>
      </c>
      <c r="D57" s="221" t="s">
        <v>1376</v>
      </c>
      <c r="E57" s="222">
        <v>37.3</v>
      </c>
      <c r="F57" s="223">
        <v>0.95</v>
      </c>
      <c r="G57" s="220" t="s">
        <v>1369</v>
      </c>
      <c r="H57" s="221" t="s">
        <v>1370</v>
      </c>
    </row>
    <row r="58">
      <c r="A58" s="220">
        <v>22</v>
      </c>
      <c r="B58" s="221" t="s">
        <v>1374</v>
      </c>
      <c r="C58" s="221" t="s">
        <v>1377</v>
      </c>
      <c r="D58" s="221" t="s">
        <v>1376</v>
      </c>
      <c r="E58" s="222">
        <v>37.1</v>
      </c>
      <c r="F58" s="223">
        <v>1.16</v>
      </c>
      <c r="G58" s="220" t="s">
        <v>1369</v>
      </c>
      <c r="H58" s="221" t="s">
        <v>1370</v>
      </c>
    </row>
    <row r="59">
      <c r="A59" s="220">
        <v>23</v>
      </c>
      <c r="B59" s="221" t="s">
        <v>1374</v>
      </c>
      <c r="C59" s="221" t="s">
        <v>1380</v>
      </c>
      <c r="D59" s="221" t="s">
        <v>1376</v>
      </c>
      <c r="E59" s="222">
        <v>39.4</v>
      </c>
      <c r="F59" s="223">
        <v>1.52</v>
      </c>
      <c r="G59" s="220" t="s">
        <v>1369</v>
      </c>
      <c r="H59" s="221" t="s">
        <v>1370</v>
      </c>
    </row>
    <row r="60">
      <c r="A60" s="220">
        <v>24</v>
      </c>
      <c r="B60" s="221" t="s">
        <v>1371</v>
      </c>
      <c r="C60" s="221" t="s">
        <v>1367</v>
      </c>
      <c r="D60" s="221" t="s">
        <v>1373</v>
      </c>
      <c r="E60" s="222">
        <v>43.1</v>
      </c>
      <c r="F60" s="223">
        <v>1.75</v>
      </c>
      <c r="G60" s="220" t="s">
        <v>1369</v>
      </c>
      <c r="H60" s="221" t="s">
        <v>1370</v>
      </c>
    </row>
    <row r="61">
      <c r="A61" s="220">
        <v>25</v>
      </c>
      <c r="B61" s="221" t="s">
        <v>1351</v>
      </c>
      <c r="C61" s="221" t="s">
        <v>1380</v>
      </c>
      <c r="D61" s="221" t="s">
        <v>1378</v>
      </c>
      <c r="E61" s="222">
        <v>37.8</v>
      </c>
      <c r="F61" s="223">
        <v>0.57</v>
      </c>
      <c r="G61" s="220" t="s">
        <v>1369</v>
      </c>
      <c r="H61" s="221" t="s">
        <v>1370</v>
      </c>
    </row>
    <row r="62">
      <c r="A62" s="220">
        <v>26</v>
      </c>
      <c r="B62" s="221" t="s">
        <v>1351</v>
      </c>
      <c r="C62" s="221" t="s">
        <v>1372</v>
      </c>
      <c r="D62" s="221" t="s">
        <v>1378</v>
      </c>
      <c r="E62" s="222">
        <v>40.3</v>
      </c>
      <c r="F62" s="223">
        <v>1.42</v>
      </c>
      <c r="G62" s="220" t="s">
        <v>1369</v>
      </c>
      <c r="H62" s="221" t="s">
        <v>1370</v>
      </c>
    </row>
    <row r="63">
      <c r="A63" s="220">
        <v>27</v>
      </c>
      <c r="B63" s="221" t="s">
        <v>1374</v>
      </c>
      <c r="C63" s="221" t="s">
        <v>1372</v>
      </c>
      <c r="D63" s="221" t="s">
        <v>1376</v>
      </c>
      <c r="E63" s="222">
        <v>37.6</v>
      </c>
      <c r="F63" s="223">
        <v>1.95</v>
      </c>
      <c r="G63" s="220" t="s">
        <v>1369</v>
      </c>
      <c r="H63" s="221" t="s">
        <v>1370</v>
      </c>
    </row>
    <row r="64">
      <c r="A64" s="220">
        <v>28</v>
      </c>
      <c r="B64" s="221" t="s">
        <v>1351</v>
      </c>
      <c r="C64" s="221" t="s">
        <v>1385</v>
      </c>
      <c r="D64" s="221" t="s">
        <v>1378</v>
      </c>
      <c r="E64" s="222">
        <v>45.5</v>
      </c>
      <c r="F64" s="223">
        <v>2.04</v>
      </c>
      <c r="G64" s="220" t="s">
        <v>1369</v>
      </c>
      <c r="H64" s="221" t="s">
        <v>1370</v>
      </c>
    </row>
    <row r="65">
      <c r="A65" s="220">
        <v>29</v>
      </c>
      <c r="B65" s="221" t="s">
        <v>1374</v>
      </c>
      <c r="C65" s="221" t="s">
        <v>1372</v>
      </c>
      <c r="D65" s="221" t="s">
        <v>1376</v>
      </c>
      <c r="E65" s="222">
        <v>54.1</v>
      </c>
      <c r="F65" s="223">
        <v>3.28</v>
      </c>
      <c r="G65" s="220" t="s">
        <v>1381</v>
      </c>
      <c r="H65" s="221" t="s">
        <v>1387</v>
      </c>
    </row>
    <row r="66">
      <c r="A66" s="220">
        <v>30</v>
      </c>
      <c r="B66" s="221" t="s">
        <v>1353</v>
      </c>
      <c r="C66" s="221" t="s">
        <v>1385</v>
      </c>
      <c r="D66" s="221" t="s">
        <v>1368</v>
      </c>
      <c r="E66" s="222">
        <v>44.8</v>
      </c>
      <c r="F66" s="223">
        <v>1.57</v>
      </c>
      <c r="G66" s="220" t="s">
        <v>1369</v>
      </c>
      <c r="H66" s="221" t="s">
        <v>1370</v>
      </c>
    </row>
    <row r="67">
      <c r="A67" s="220">
        <v>31</v>
      </c>
      <c r="B67" s="221" t="s">
        <v>1374</v>
      </c>
      <c r="C67" s="221" t="s">
        <v>1384</v>
      </c>
      <c r="D67" s="221" t="s">
        <v>1376</v>
      </c>
      <c r="E67" s="222">
        <v>57.2</v>
      </c>
      <c r="F67" s="223">
        <v>4.12</v>
      </c>
      <c r="G67" s="220" t="s">
        <v>1381</v>
      </c>
      <c r="H67" s="221" t="s">
        <v>1382</v>
      </c>
    </row>
    <row r="68">
      <c r="A68" s="220">
        <v>32</v>
      </c>
      <c r="B68" s="221" t="s">
        <v>1374</v>
      </c>
      <c r="C68" s="221" t="s">
        <v>1386</v>
      </c>
      <c r="D68" s="221" t="s">
        <v>1376</v>
      </c>
      <c r="E68" s="222">
        <v>43</v>
      </c>
      <c r="F68" s="223">
        <v>0.66</v>
      </c>
      <c r="G68" s="220" t="s">
        <v>1369</v>
      </c>
      <c r="H68" s="221" t="s">
        <v>1370</v>
      </c>
    </row>
    <row r="69">
      <c r="A69" s="220">
        <v>33</v>
      </c>
      <c r="B69" s="221" t="s">
        <v>1351</v>
      </c>
      <c r="C69" s="221" t="s">
        <v>1388</v>
      </c>
      <c r="D69" s="221" t="s">
        <v>1378</v>
      </c>
      <c r="E69" s="222">
        <v>36.3</v>
      </c>
      <c r="F69" s="223">
        <v>1.09</v>
      </c>
      <c r="G69" s="220" t="s">
        <v>1369</v>
      </c>
      <c r="H69" s="221" t="s">
        <v>1370</v>
      </c>
    </row>
    <row r="70">
      <c r="A70" s="220">
        <v>34</v>
      </c>
      <c r="B70" s="221" t="s">
        <v>1351</v>
      </c>
      <c r="C70" s="221" t="s">
        <v>1379</v>
      </c>
      <c r="D70" s="221" t="s">
        <v>1378</v>
      </c>
      <c r="E70" s="222">
        <v>39.5</v>
      </c>
      <c r="F70" s="223">
        <v>0.89</v>
      </c>
      <c r="G70" s="220" t="s">
        <v>1369</v>
      </c>
      <c r="H70" s="221" t="s">
        <v>1370</v>
      </c>
    </row>
    <row r="71">
      <c r="A71" s="220">
        <v>35</v>
      </c>
      <c r="B71" s="221" t="s">
        <v>1374</v>
      </c>
      <c r="C71" s="221" t="s">
        <v>1389</v>
      </c>
      <c r="D71" s="221" t="s">
        <v>1376</v>
      </c>
      <c r="E71" s="222">
        <v>45.6</v>
      </c>
      <c r="F71" s="223">
        <v>0.58</v>
      </c>
      <c r="G71" s="220" t="s">
        <v>1369</v>
      </c>
      <c r="H71" s="221" t="s">
        <v>1370</v>
      </c>
    </row>
    <row r="72">
      <c r="A72" s="220">
        <v>36</v>
      </c>
      <c r="B72" s="221" t="s">
        <v>1353</v>
      </c>
      <c r="C72" s="221" t="s">
        <v>1385</v>
      </c>
      <c r="D72" s="221" t="s">
        <v>1368</v>
      </c>
      <c r="E72" s="222">
        <v>37.6</v>
      </c>
      <c r="F72" s="223">
        <v>1.48</v>
      </c>
      <c r="G72" s="220" t="s">
        <v>1369</v>
      </c>
      <c r="H72" s="221" t="s">
        <v>1370</v>
      </c>
    </row>
    <row r="73">
      <c r="A73" s="220">
        <v>37</v>
      </c>
      <c r="B73" s="221" t="s">
        <v>1374</v>
      </c>
      <c r="C73" s="221" t="s">
        <v>1389</v>
      </c>
      <c r="D73" s="221" t="s">
        <v>1376</v>
      </c>
      <c r="E73" s="222">
        <v>40.7</v>
      </c>
      <c r="F73" s="223">
        <v>1.07</v>
      </c>
      <c r="G73" s="220" t="s">
        <v>1369</v>
      </c>
      <c r="H73" s="221" t="s">
        <v>1370</v>
      </c>
    </row>
    <row r="74">
      <c r="A74" s="220">
        <v>38</v>
      </c>
      <c r="B74" s="221" t="s">
        <v>1351</v>
      </c>
      <c r="C74" s="221" t="s">
        <v>1379</v>
      </c>
      <c r="D74" s="221" t="s">
        <v>1378</v>
      </c>
      <c r="E74" s="222">
        <v>38.1</v>
      </c>
      <c r="F74" s="223">
        <v>0.58</v>
      </c>
      <c r="G74" s="220" t="s">
        <v>1369</v>
      </c>
      <c r="H74" s="221" t="s">
        <v>1370</v>
      </c>
    </row>
    <row r="75">
      <c r="A75" s="220">
        <v>39</v>
      </c>
      <c r="B75" s="221" t="s">
        <v>1371</v>
      </c>
      <c r="C75" s="221" t="s">
        <v>1379</v>
      </c>
      <c r="D75" s="221" t="s">
        <v>1373</v>
      </c>
      <c r="E75" s="222">
        <v>40.9</v>
      </c>
      <c r="F75" s="223">
        <v>1.62</v>
      </c>
      <c r="G75" s="220" t="s">
        <v>1369</v>
      </c>
      <c r="H75" s="221" t="s">
        <v>1370</v>
      </c>
    </row>
    <row r="76">
      <c r="A76" s="220">
        <v>40</v>
      </c>
      <c r="B76" s="221" t="s">
        <v>1371</v>
      </c>
      <c r="C76" s="221" t="s">
        <v>1379</v>
      </c>
      <c r="D76" s="221" t="s">
        <v>1373</v>
      </c>
      <c r="E76" s="222">
        <v>37.3</v>
      </c>
      <c r="F76" s="223">
        <v>1.5</v>
      </c>
      <c r="G76" s="220" t="s">
        <v>1369</v>
      </c>
      <c r="H76" s="221" t="s">
        <v>1370</v>
      </c>
    </row>
    <row r="77">
      <c r="A77" s="220">
        <v>41</v>
      </c>
      <c r="B77" s="221" t="s">
        <v>1351</v>
      </c>
      <c r="C77" s="221" t="s">
        <v>1380</v>
      </c>
      <c r="D77" s="221" t="s">
        <v>1378</v>
      </c>
      <c r="E77" s="222">
        <v>42.1</v>
      </c>
      <c r="F77" s="223">
        <v>1.38</v>
      </c>
      <c r="G77" s="220" t="s">
        <v>1369</v>
      </c>
      <c r="H77" s="221" t="s">
        <v>1370</v>
      </c>
    </row>
    <row r="78">
      <c r="A78" s="220">
        <v>42</v>
      </c>
      <c r="B78" s="221" t="s">
        <v>1351</v>
      </c>
      <c r="C78" s="221" t="s">
        <v>1389</v>
      </c>
      <c r="D78" s="221" t="s">
        <v>1378</v>
      </c>
      <c r="E78" s="222">
        <v>44.6</v>
      </c>
      <c r="F78" s="223">
        <v>1.05</v>
      </c>
      <c r="G78" s="220" t="s">
        <v>1369</v>
      </c>
      <c r="H78" s="221" t="s">
        <v>1370</v>
      </c>
    </row>
    <row r="79">
      <c r="A79" s="220">
        <v>43</v>
      </c>
      <c r="B79" s="221" t="s">
        <v>1374</v>
      </c>
      <c r="C79" s="221" t="s">
        <v>1388</v>
      </c>
      <c r="D79" s="221" t="s">
        <v>1376</v>
      </c>
      <c r="E79" s="222">
        <v>42.7</v>
      </c>
      <c r="F79" s="223">
        <v>1.84</v>
      </c>
      <c r="G79" s="220" t="s">
        <v>1369</v>
      </c>
      <c r="H79" s="221" t="s">
        <v>1370</v>
      </c>
    </row>
    <row r="80">
      <c r="A80" s="220">
        <v>44</v>
      </c>
      <c r="B80" s="221" t="s">
        <v>1351</v>
      </c>
      <c r="C80" s="221" t="s">
        <v>1372</v>
      </c>
      <c r="D80" s="221" t="s">
        <v>1378</v>
      </c>
      <c r="E80" s="222">
        <v>38.4</v>
      </c>
      <c r="F80" s="223">
        <v>0.59</v>
      </c>
      <c r="G80" s="220" t="s">
        <v>1369</v>
      </c>
      <c r="H80" s="221" t="s">
        <v>1370</v>
      </c>
    </row>
    <row r="81">
      <c r="A81" s="220">
        <v>45</v>
      </c>
      <c r="B81" s="221" t="s">
        <v>1353</v>
      </c>
      <c r="C81" s="221" t="s">
        <v>1377</v>
      </c>
      <c r="D81" s="221" t="s">
        <v>1368</v>
      </c>
      <c r="E81" s="222">
        <v>39</v>
      </c>
      <c r="F81" s="223">
        <v>1.97</v>
      </c>
      <c r="G81" s="220" t="s">
        <v>1369</v>
      </c>
      <c r="H81" s="221" t="s">
        <v>1370</v>
      </c>
    </row>
    <row r="82">
      <c r="A82" s="220">
        <v>46</v>
      </c>
      <c r="B82" s="221" t="s">
        <v>1353</v>
      </c>
      <c r="C82" s="221" t="s">
        <v>1388</v>
      </c>
      <c r="D82" s="221" t="s">
        <v>1368</v>
      </c>
      <c r="E82" s="222">
        <v>45.6</v>
      </c>
      <c r="F82" s="223">
        <v>0.52</v>
      </c>
      <c r="G82" s="220" t="s">
        <v>1369</v>
      </c>
      <c r="H82" s="221" t="s">
        <v>1370</v>
      </c>
    </row>
    <row r="83">
      <c r="A83" s="220">
        <v>47</v>
      </c>
      <c r="B83" s="221" t="s">
        <v>1371</v>
      </c>
      <c r="C83" s="221" t="s">
        <v>1380</v>
      </c>
      <c r="D83" s="221" t="s">
        <v>1373</v>
      </c>
      <c r="E83" s="222">
        <v>42.1</v>
      </c>
      <c r="F83" s="223">
        <v>2.08</v>
      </c>
      <c r="G83" s="220" t="s">
        <v>1369</v>
      </c>
      <c r="H83" s="221" t="s">
        <v>1370</v>
      </c>
    </row>
    <row r="84">
      <c r="A84" s="220">
        <v>48</v>
      </c>
      <c r="B84" s="221" t="s">
        <v>1353</v>
      </c>
      <c r="C84" s="221" t="s">
        <v>1372</v>
      </c>
      <c r="D84" s="221" t="s">
        <v>1368</v>
      </c>
      <c r="E84" s="222">
        <v>37.5</v>
      </c>
      <c r="F84" s="223">
        <v>0.66</v>
      </c>
      <c r="G84" s="220" t="s">
        <v>1369</v>
      </c>
      <c r="H84" s="221" t="s">
        <v>1370</v>
      </c>
    </row>
    <row r="85">
      <c r="A85" s="220">
        <v>49</v>
      </c>
      <c r="B85" s="221" t="s">
        <v>1351</v>
      </c>
      <c r="C85" s="221" t="s">
        <v>1383</v>
      </c>
      <c r="D85" s="221" t="s">
        <v>1378</v>
      </c>
      <c r="E85" s="222">
        <v>37.6</v>
      </c>
      <c r="F85" s="223">
        <v>1.86</v>
      </c>
      <c r="G85" s="220" t="s">
        <v>1369</v>
      </c>
      <c r="H85" s="221" t="s">
        <v>1370</v>
      </c>
    </row>
    <row r="86">
      <c r="A86" s="220">
        <v>50</v>
      </c>
      <c r="B86" s="221" t="s">
        <v>1353</v>
      </c>
      <c r="C86" s="221" t="s">
        <v>1367</v>
      </c>
      <c r="D86" s="221" t="s">
        <v>1368</v>
      </c>
      <c r="E86" s="222">
        <v>36.5</v>
      </c>
      <c r="F86" s="223">
        <v>1.87</v>
      </c>
      <c r="G86" s="220" t="s">
        <v>1369</v>
      </c>
      <c r="H86" s="221" t="s">
        <v>1370</v>
      </c>
    </row>
    <row r="87">
      <c r="A87" s="220">
        <v>51</v>
      </c>
      <c r="B87" s="221" t="s">
        <v>1374</v>
      </c>
      <c r="C87" s="221" t="s">
        <v>1389</v>
      </c>
      <c r="D87" s="221" t="s">
        <v>1376</v>
      </c>
      <c r="E87" s="222">
        <v>40.7</v>
      </c>
      <c r="F87" s="223">
        <v>1.07</v>
      </c>
      <c r="G87" s="220" t="s">
        <v>1369</v>
      </c>
      <c r="H87" s="221" t="s">
        <v>1370</v>
      </c>
    </row>
    <row r="88">
      <c r="A88" s="220">
        <v>52</v>
      </c>
      <c r="B88" s="221" t="s">
        <v>1374</v>
      </c>
      <c r="C88" s="221" t="s">
        <v>1385</v>
      </c>
      <c r="D88" s="221" t="s">
        <v>1376</v>
      </c>
      <c r="E88" s="222">
        <v>41.5</v>
      </c>
      <c r="F88" s="223">
        <v>0.94</v>
      </c>
      <c r="G88" s="220" t="s">
        <v>1369</v>
      </c>
      <c r="H88" s="221" t="s">
        <v>1370</v>
      </c>
    </row>
    <row r="89">
      <c r="A89" s="220">
        <v>53</v>
      </c>
      <c r="B89" s="221" t="s">
        <v>1374</v>
      </c>
      <c r="C89" s="221" t="s">
        <v>1377</v>
      </c>
      <c r="D89" s="221" t="s">
        <v>1376</v>
      </c>
      <c r="E89" s="222">
        <v>41.2</v>
      </c>
      <c r="F89" s="223">
        <v>1.53</v>
      </c>
      <c r="G89" s="220" t="s">
        <v>1369</v>
      </c>
      <c r="H89" s="221" t="s">
        <v>1370</v>
      </c>
    </row>
    <row r="90">
      <c r="A90" s="220">
        <v>54</v>
      </c>
      <c r="B90" s="221" t="s">
        <v>1353</v>
      </c>
      <c r="C90" s="221" t="s">
        <v>1385</v>
      </c>
      <c r="D90" s="221" t="s">
        <v>1368</v>
      </c>
      <c r="E90" s="222">
        <v>45.7</v>
      </c>
      <c r="F90" s="223">
        <v>1.8</v>
      </c>
      <c r="G90" s="220" t="s">
        <v>1369</v>
      </c>
      <c r="H90" s="221" t="s">
        <v>1370</v>
      </c>
    </row>
    <row r="91">
      <c r="A91" s="220">
        <v>55</v>
      </c>
      <c r="B91" s="221" t="s">
        <v>1374</v>
      </c>
      <c r="C91" s="221" t="s">
        <v>1377</v>
      </c>
      <c r="D91" s="221" t="s">
        <v>1376</v>
      </c>
      <c r="E91" s="222">
        <v>36.6</v>
      </c>
      <c r="F91" s="223">
        <v>1.73</v>
      </c>
      <c r="G91" s="220" t="s">
        <v>1369</v>
      </c>
      <c r="H91" s="221" t="s">
        <v>1370</v>
      </c>
    </row>
    <row r="92">
      <c r="A92" s="220">
        <v>56</v>
      </c>
      <c r="B92" s="221" t="s">
        <v>1351</v>
      </c>
      <c r="C92" s="221" t="s">
        <v>1379</v>
      </c>
      <c r="D92" s="221" t="s">
        <v>1378</v>
      </c>
      <c r="E92" s="222">
        <v>45.2</v>
      </c>
      <c r="F92" s="223">
        <v>1.18</v>
      </c>
      <c r="G92" s="220" t="s">
        <v>1369</v>
      </c>
      <c r="H92" s="221" t="s">
        <v>1370</v>
      </c>
    </row>
    <row r="93">
      <c r="A93" s="220">
        <v>57</v>
      </c>
      <c r="B93" s="221" t="s">
        <v>1374</v>
      </c>
      <c r="C93" s="221" t="s">
        <v>1375</v>
      </c>
      <c r="D93" s="221" t="s">
        <v>1376</v>
      </c>
      <c r="E93" s="222">
        <v>36.5</v>
      </c>
      <c r="F93" s="223">
        <v>1.87</v>
      </c>
      <c r="G93" s="220" t="s">
        <v>1369</v>
      </c>
      <c r="H93" s="221" t="s">
        <v>1370</v>
      </c>
    </row>
    <row r="94">
      <c r="A94" s="220">
        <v>58</v>
      </c>
      <c r="B94" s="221" t="s">
        <v>1353</v>
      </c>
      <c r="C94" s="221" t="s">
        <v>1388</v>
      </c>
      <c r="D94" s="221" t="s">
        <v>1368</v>
      </c>
      <c r="E94" s="222">
        <v>45.7</v>
      </c>
      <c r="F94" s="223">
        <v>2.04</v>
      </c>
      <c r="G94" s="220" t="s">
        <v>1369</v>
      </c>
      <c r="H94" s="221" t="s">
        <v>1370</v>
      </c>
    </row>
    <row r="95">
      <c r="A95" s="220">
        <v>59</v>
      </c>
      <c r="B95" s="221" t="s">
        <v>1374</v>
      </c>
      <c r="C95" s="221" t="s">
        <v>1380</v>
      </c>
      <c r="D95" s="221" t="s">
        <v>1376</v>
      </c>
      <c r="E95" s="222">
        <v>56.1</v>
      </c>
      <c r="F95" s="223">
        <v>3.37</v>
      </c>
      <c r="G95" s="220" t="s">
        <v>1381</v>
      </c>
      <c r="H95" s="221" t="s">
        <v>1382</v>
      </c>
    </row>
    <row r="96">
      <c r="A96" s="220">
        <v>60</v>
      </c>
      <c r="B96" s="221" t="s">
        <v>1351</v>
      </c>
      <c r="C96" s="221" t="s">
        <v>1385</v>
      </c>
      <c r="D96" s="221" t="s">
        <v>1378</v>
      </c>
      <c r="E96" s="222">
        <v>45.1</v>
      </c>
      <c r="F96" s="223">
        <v>1.72</v>
      </c>
      <c r="G96" s="220" t="s">
        <v>1369</v>
      </c>
      <c r="H96" s="221" t="s">
        <v>1370</v>
      </c>
    </row>
    <row r="97">
      <c r="A97" s="220">
        <v>61</v>
      </c>
      <c r="B97" s="221" t="s">
        <v>1353</v>
      </c>
      <c r="C97" s="221" t="s">
        <v>1377</v>
      </c>
      <c r="D97" s="221" t="s">
        <v>1368</v>
      </c>
      <c r="E97" s="222">
        <v>42.2</v>
      </c>
      <c r="F97" s="223">
        <v>1.54</v>
      </c>
      <c r="G97" s="220" t="s">
        <v>1369</v>
      </c>
      <c r="H97" s="221" t="s">
        <v>1370</v>
      </c>
    </row>
    <row r="98">
      <c r="A98" s="220">
        <v>62</v>
      </c>
      <c r="B98" s="221" t="s">
        <v>1351</v>
      </c>
      <c r="C98" s="221" t="s">
        <v>1367</v>
      </c>
      <c r="D98" s="221" t="s">
        <v>1378</v>
      </c>
      <c r="E98" s="222">
        <v>37.3</v>
      </c>
      <c r="F98" s="223">
        <v>1.18</v>
      </c>
      <c r="G98" s="220" t="s">
        <v>1369</v>
      </c>
      <c r="H98" s="221" t="s">
        <v>1370</v>
      </c>
    </row>
    <row r="99">
      <c r="A99" s="220">
        <v>63</v>
      </c>
      <c r="B99" s="221" t="s">
        <v>1351</v>
      </c>
      <c r="C99" s="221" t="s">
        <v>1375</v>
      </c>
      <c r="D99" s="221" t="s">
        <v>1378</v>
      </c>
      <c r="E99" s="222">
        <v>37.3</v>
      </c>
      <c r="F99" s="223">
        <v>1.51</v>
      </c>
      <c r="G99" s="220" t="s">
        <v>1369</v>
      </c>
      <c r="H99" s="221" t="s">
        <v>1370</v>
      </c>
    </row>
    <row r="100">
      <c r="A100" s="220">
        <v>64</v>
      </c>
      <c r="B100" s="221" t="s">
        <v>1353</v>
      </c>
      <c r="C100" s="221" t="s">
        <v>1367</v>
      </c>
      <c r="D100" s="221" t="s">
        <v>1368</v>
      </c>
      <c r="E100" s="222">
        <v>40.7</v>
      </c>
      <c r="F100" s="223">
        <v>1.74</v>
      </c>
      <c r="G100" s="220" t="s">
        <v>1369</v>
      </c>
      <c r="H100" s="221" t="s">
        <v>1370</v>
      </c>
    </row>
    <row r="101">
      <c r="A101" s="220">
        <v>65</v>
      </c>
      <c r="B101" s="221" t="s">
        <v>1374</v>
      </c>
      <c r="C101" s="221" t="s">
        <v>1384</v>
      </c>
      <c r="D101" s="221" t="s">
        <v>1376</v>
      </c>
      <c r="E101" s="222">
        <v>36.3</v>
      </c>
      <c r="F101" s="223">
        <v>1.54</v>
      </c>
      <c r="G101" s="220" t="s">
        <v>1369</v>
      </c>
      <c r="H101" s="221" t="s">
        <v>1370</v>
      </c>
    </row>
    <row r="102">
      <c r="A102" s="220">
        <v>66</v>
      </c>
      <c r="B102" s="221" t="s">
        <v>1351</v>
      </c>
      <c r="C102" s="221" t="s">
        <v>1389</v>
      </c>
      <c r="D102" s="221" t="s">
        <v>1378</v>
      </c>
      <c r="E102" s="222">
        <v>42.9</v>
      </c>
      <c r="F102" s="223">
        <v>1.31</v>
      </c>
      <c r="G102" s="220" t="s">
        <v>1369</v>
      </c>
      <c r="H102" s="221" t="s">
        <v>1370</v>
      </c>
    </row>
    <row r="103">
      <c r="A103" s="220">
        <v>67</v>
      </c>
      <c r="B103" s="221" t="s">
        <v>1374</v>
      </c>
      <c r="C103" s="221" t="s">
        <v>1383</v>
      </c>
      <c r="D103" s="221" t="s">
        <v>1376</v>
      </c>
      <c r="E103" s="222">
        <v>38.4</v>
      </c>
      <c r="F103" s="223">
        <v>1.54</v>
      </c>
      <c r="G103" s="220" t="s">
        <v>1369</v>
      </c>
      <c r="H103" s="221" t="s">
        <v>1370</v>
      </c>
    </row>
    <row r="104">
      <c r="A104" s="220">
        <v>68</v>
      </c>
      <c r="B104" s="221" t="s">
        <v>1351</v>
      </c>
      <c r="C104" s="221" t="s">
        <v>1372</v>
      </c>
      <c r="D104" s="221" t="s">
        <v>1378</v>
      </c>
      <c r="E104" s="222">
        <v>37.2</v>
      </c>
      <c r="F104" s="223">
        <v>1.68</v>
      </c>
      <c r="G104" s="220" t="s">
        <v>1369</v>
      </c>
      <c r="H104" s="221" t="s">
        <v>1370</v>
      </c>
    </row>
    <row r="105">
      <c r="A105" s="220">
        <v>69</v>
      </c>
      <c r="B105" s="221" t="s">
        <v>1351</v>
      </c>
      <c r="C105" s="221" t="s">
        <v>1380</v>
      </c>
      <c r="D105" s="221" t="s">
        <v>1378</v>
      </c>
      <c r="E105" s="222">
        <v>36.5</v>
      </c>
      <c r="F105" s="223">
        <v>2.04</v>
      </c>
      <c r="G105" s="220" t="s">
        <v>1369</v>
      </c>
      <c r="H105" s="221" t="s">
        <v>1370</v>
      </c>
    </row>
    <row r="106">
      <c r="A106" s="220">
        <v>70</v>
      </c>
      <c r="B106" s="221" t="s">
        <v>1371</v>
      </c>
      <c r="C106" s="221" t="s">
        <v>1379</v>
      </c>
      <c r="D106" s="221" t="s">
        <v>1373</v>
      </c>
      <c r="E106" s="222">
        <v>42.5</v>
      </c>
      <c r="F106" s="223">
        <v>1.4</v>
      </c>
      <c r="G106" s="220" t="s">
        <v>1369</v>
      </c>
      <c r="H106" s="221" t="s">
        <v>1370</v>
      </c>
    </row>
    <row r="107">
      <c r="A107" s="220">
        <v>71</v>
      </c>
      <c r="B107" s="221" t="s">
        <v>1374</v>
      </c>
      <c r="C107" s="221" t="s">
        <v>1377</v>
      </c>
      <c r="D107" s="221" t="s">
        <v>1376</v>
      </c>
      <c r="E107" s="222">
        <v>41.6</v>
      </c>
      <c r="F107" s="223">
        <v>0.76</v>
      </c>
      <c r="G107" s="220" t="s">
        <v>1369</v>
      </c>
      <c r="H107" s="221" t="s">
        <v>1370</v>
      </c>
    </row>
    <row r="108">
      <c r="A108" s="220">
        <v>72</v>
      </c>
      <c r="B108" s="221" t="s">
        <v>1351</v>
      </c>
      <c r="C108" s="221" t="s">
        <v>1389</v>
      </c>
      <c r="D108" s="221" t="s">
        <v>1378</v>
      </c>
      <c r="E108" s="222">
        <v>44</v>
      </c>
      <c r="F108" s="223">
        <v>1.47</v>
      </c>
      <c r="G108" s="220" t="s">
        <v>1369</v>
      </c>
      <c r="H108" s="221" t="s">
        <v>1370</v>
      </c>
    </row>
    <row r="109">
      <c r="A109" s="220">
        <v>73</v>
      </c>
      <c r="B109" s="221" t="s">
        <v>1353</v>
      </c>
      <c r="C109" s="221" t="s">
        <v>1386</v>
      </c>
      <c r="D109" s="221" t="s">
        <v>1368</v>
      </c>
      <c r="E109" s="222">
        <v>43</v>
      </c>
      <c r="F109" s="223">
        <v>1.91</v>
      </c>
      <c r="G109" s="220" t="s">
        <v>1369</v>
      </c>
      <c r="H109" s="221" t="s">
        <v>1370</v>
      </c>
    </row>
    <row r="110">
      <c r="A110" s="220">
        <v>74</v>
      </c>
      <c r="B110" s="221" t="s">
        <v>1351</v>
      </c>
      <c r="C110" s="221" t="s">
        <v>1383</v>
      </c>
      <c r="D110" s="221" t="s">
        <v>1378</v>
      </c>
      <c r="E110" s="222">
        <v>37.3</v>
      </c>
      <c r="F110" s="223">
        <v>1.11</v>
      </c>
      <c r="G110" s="220" t="s">
        <v>1369</v>
      </c>
      <c r="H110" s="221" t="s">
        <v>1370</v>
      </c>
    </row>
    <row r="111">
      <c r="A111" s="220">
        <v>75</v>
      </c>
      <c r="B111" s="221" t="s">
        <v>1374</v>
      </c>
      <c r="C111" s="221" t="s">
        <v>1375</v>
      </c>
      <c r="D111" s="221" t="s">
        <v>1376</v>
      </c>
      <c r="E111" s="222">
        <v>40</v>
      </c>
      <c r="F111" s="223">
        <v>1.15</v>
      </c>
      <c r="G111" s="220" t="s">
        <v>1369</v>
      </c>
      <c r="H111" s="221" t="s">
        <v>1370</v>
      </c>
    </row>
    <row r="112">
      <c r="A112" s="220">
        <v>76</v>
      </c>
      <c r="B112" s="221" t="s">
        <v>1351</v>
      </c>
      <c r="C112" s="221" t="s">
        <v>1383</v>
      </c>
      <c r="D112" s="221" t="s">
        <v>1378</v>
      </c>
      <c r="E112" s="222">
        <v>45.5</v>
      </c>
      <c r="F112" s="223">
        <v>0.62</v>
      </c>
      <c r="G112" s="220" t="s">
        <v>1369</v>
      </c>
      <c r="H112" s="221" t="s">
        <v>1370</v>
      </c>
    </row>
    <row r="113">
      <c r="A113" s="220">
        <v>77</v>
      </c>
      <c r="B113" s="221" t="s">
        <v>1374</v>
      </c>
      <c r="C113" s="221" t="s">
        <v>1377</v>
      </c>
      <c r="D113" s="221" t="s">
        <v>1376</v>
      </c>
      <c r="E113" s="222">
        <v>53.5</v>
      </c>
      <c r="F113" s="223">
        <v>4.24</v>
      </c>
      <c r="G113" s="220" t="s">
        <v>1381</v>
      </c>
      <c r="H113" s="221" t="s">
        <v>1387</v>
      </c>
    </row>
    <row r="114">
      <c r="A114" s="220">
        <v>78</v>
      </c>
      <c r="B114" s="221" t="s">
        <v>1371</v>
      </c>
      <c r="C114" s="221" t="s">
        <v>1386</v>
      </c>
      <c r="D114" s="221" t="s">
        <v>1373</v>
      </c>
      <c r="E114" s="222">
        <v>43.3</v>
      </c>
      <c r="F114" s="223">
        <v>1.38</v>
      </c>
      <c r="G114" s="220" t="s">
        <v>1369</v>
      </c>
      <c r="H114" s="221" t="s">
        <v>1370</v>
      </c>
    </row>
    <row r="115">
      <c r="A115" s="220">
        <v>79</v>
      </c>
      <c r="B115" s="221" t="s">
        <v>1374</v>
      </c>
      <c r="C115" s="221" t="s">
        <v>1383</v>
      </c>
      <c r="D115" s="221" t="s">
        <v>1376</v>
      </c>
      <c r="E115" s="222">
        <v>44.6</v>
      </c>
      <c r="F115" s="223">
        <v>0.65</v>
      </c>
      <c r="G115" s="220" t="s">
        <v>1369</v>
      </c>
      <c r="H115" s="221" t="s">
        <v>1370</v>
      </c>
    </row>
    <row r="116">
      <c r="A116" s="220">
        <v>80</v>
      </c>
      <c r="B116" s="221" t="s">
        <v>1374</v>
      </c>
      <c r="C116" s="221" t="s">
        <v>1388</v>
      </c>
      <c r="D116" s="221" t="s">
        <v>1376</v>
      </c>
      <c r="E116" s="222">
        <v>40.1</v>
      </c>
      <c r="F116" s="223">
        <v>1.03</v>
      </c>
      <c r="G116" s="220" t="s">
        <v>1369</v>
      </c>
      <c r="H116" s="221" t="s">
        <v>1370</v>
      </c>
    </row>
    <row r="117">
      <c r="A117" s="220">
        <v>81</v>
      </c>
      <c r="B117" s="221" t="s">
        <v>1371</v>
      </c>
      <c r="C117" s="221" t="s">
        <v>1377</v>
      </c>
      <c r="D117" s="221" t="s">
        <v>1373</v>
      </c>
      <c r="E117" s="222">
        <v>41.7</v>
      </c>
      <c r="F117" s="223">
        <v>0.73</v>
      </c>
      <c r="G117" s="220" t="s">
        <v>1369</v>
      </c>
      <c r="H117" s="221" t="s">
        <v>1370</v>
      </c>
    </row>
    <row r="118">
      <c r="A118" s="220">
        <v>82</v>
      </c>
      <c r="B118" s="221" t="s">
        <v>1351</v>
      </c>
      <c r="C118" s="221" t="s">
        <v>1380</v>
      </c>
      <c r="D118" s="221" t="s">
        <v>1378</v>
      </c>
      <c r="E118" s="222">
        <v>40.9</v>
      </c>
      <c r="F118" s="223">
        <v>1.56</v>
      </c>
      <c r="G118" s="220" t="s">
        <v>1369</v>
      </c>
      <c r="H118" s="221" t="s">
        <v>1370</v>
      </c>
    </row>
    <row r="119">
      <c r="A119" s="220">
        <v>83</v>
      </c>
      <c r="B119" s="221" t="s">
        <v>1353</v>
      </c>
      <c r="C119" s="221" t="s">
        <v>1372</v>
      </c>
      <c r="D119" s="221" t="s">
        <v>1368</v>
      </c>
      <c r="E119" s="222">
        <v>41</v>
      </c>
      <c r="F119" s="223">
        <v>0.77</v>
      </c>
      <c r="G119" s="220" t="s">
        <v>1369</v>
      </c>
      <c r="H119" s="221" t="s">
        <v>1370</v>
      </c>
    </row>
    <row r="120">
      <c r="A120" s="220">
        <v>84</v>
      </c>
      <c r="B120" s="221" t="s">
        <v>1371</v>
      </c>
      <c r="C120" s="221" t="s">
        <v>1377</v>
      </c>
      <c r="D120" s="221" t="s">
        <v>1373</v>
      </c>
      <c r="E120" s="222">
        <v>41.7</v>
      </c>
      <c r="F120" s="223">
        <v>0.97</v>
      </c>
      <c r="G120" s="220" t="s">
        <v>1369</v>
      </c>
      <c r="H120" s="221" t="s">
        <v>1370</v>
      </c>
    </row>
    <row r="121">
      <c r="A121" s="220">
        <v>85</v>
      </c>
      <c r="B121" s="221" t="s">
        <v>1351</v>
      </c>
      <c r="C121" s="221" t="s">
        <v>1375</v>
      </c>
      <c r="D121" s="221" t="s">
        <v>1378</v>
      </c>
      <c r="E121" s="222">
        <v>45.1</v>
      </c>
      <c r="F121" s="223">
        <v>0.76</v>
      </c>
      <c r="G121" s="220" t="s">
        <v>1369</v>
      </c>
      <c r="H121" s="221" t="s">
        <v>1370</v>
      </c>
    </row>
    <row r="122">
      <c r="A122" s="220">
        <v>86</v>
      </c>
      <c r="B122" s="221" t="s">
        <v>1374</v>
      </c>
      <c r="C122" s="221" t="s">
        <v>1385</v>
      </c>
      <c r="D122" s="221" t="s">
        <v>1376</v>
      </c>
      <c r="E122" s="222">
        <v>43.3</v>
      </c>
      <c r="F122" s="223">
        <v>1.29</v>
      </c>
      <c r="G122" s="220" t="s">
        <v>1369</v>
      </c>
      <c r="H122" s="221" t="s">
        <v>1370</v>
      </c>
    </row>
    <row r="123">
      <c r="A123" s="220">
        <v>87</v>
      </c>
      <c r="B123" s="221" t="s">
        <v>1374</v>
      </c>
      <c r="C123" s="221" t="s">
        <v>1380</v>
      </c>
      <c r="D123" s="221" t="s">
        <v>1376</v>
      </c>
      <c r="E123" s="222">
        <v>43.1</v>
      </c>
      <c r="F123" s="223">
        <v>1.34</v>
      </c>
      <c r="G123" s="220" t="s">
        <v>1369</v>
      </c>
      <c r="H123" s="221" t="s">
        <v>1370</v>
      </c>
    </row>
    <row r="124">
      <c r="A124" s="220">
        <v>88</v>
      </c>
      <c r="B124" s="221" t="s">
        <v>1351</v>
      </c>
      <c r="C124" s="221" t="s">
        <v>1384</v>
      </c>
      <c r="D124" s="221" t="s">
        <v>1378</v>
      </c>
      <c r="E124" s="222">
        <v>38.7</v>
      </c>
      <c r="F124" s="223">
        <v>1.66</v>
      </c>
      <c r="G124" s="220" t="s">
        <v>1369</v>
      </c>
      <c r="H124" s="221" t="s">
        <v>1370</v>
      </c>
    </row>
    <row r="125">
      <c r="A125" s="220">
        <v>89</v>
      </c>
      <c r="B125" s="221" t="s">
        <v>1351</v>
      </c>
      <c r="C125" s="221" t="s">
        <v>1388</v>
      </c>
      <c r="D125" s="221" t="s">
        <v>1378</v>
      </c>
      <c r="E125" s="222">
        <v>45.3</v>
      </c>
      <c r="F125" s="223">
        <v>0.74</v>
      </c>
      <c r="G125" s="220" t="s">
        <v>1369</v>
      </c>
      <c r="H125" s="221" t="s">
        <v>1370</v>
      </c>
    </row>
    <row r="126">
      <c r="A126" s="220">
        <v>90</v>
      </c>
      <c r="B126" s="221" t="s">
        <v>1353</v>
      </c>
      <c r="C126" s="221" t="s">
        <v>1379</v>
      </c>
      <c r="D126" s="221" t="s">
        <v>1368</v>
      </c>
      <c r="E126" s="222">
        <v>43.7</v>
      </c>
      <c r="F126" s="223">
        <v>1.29</v>
      </c>
      <c r="G126" s="220" t="s">
        <v>1369</v>
      </c>
      <c r="H126" s="221" t="s">
        <v>1370</v>
      </c>
    </row>
    <row r="127">
      <c r="A127" s="220">
        <v>91</v>
      </c>
      <c r="B127" s="221" t="s">
        <v>1353</v>
      </c>
      <c r="C127" s="221" t="s">
        <v>1380</v>
      </c>
      <c r="D127" s="221" t="s">
        <v>1368</v>
      </c>
      <c r="E127" s="222">
        <v>39.6</v>
      </c>
      <c r="F127" s="223">
        <v>1.06</v>
      </c>
      <c r="G127" s="220" t="s">
        <v>1369</v>
      </c>
      <c r="H127" s="221" t="s">
        <v>1370</v>
      </c>
    </row>
    <row r="128">
      <c r="A128" s="220">
        <v>92</v>
      </c>
      <c r="B128" s="221" t="s">
        <v>1374</v>
      </c>
      <c r="C128" s="221" t="s">
        <v>1384</v>
      </c>
      <c r="D128" s="221" t="s">
        <v>1376</v>
      </c>
      <c r="E128" s="222">
        <v>36.3</v>
      </c>
      <c r="F128" s="223">
        <v>0.52</v>
      </c>
      <c r="G128" s="220" t="s">
        <v>1369</v>
      </c>
      <c r="H128" s="221" t="s">
        <v>1370</v>
      </c>
    </row>
    <row r="129">
      <c r="A129" s="220">
        <v>93</v>
      </c>
      <c r="B129" s="221" t="s">
        <v>1374</v>
      </c>
      <c r="C129" s="221" t="s">
        <v>1384</v>
      </c>
      <c r="D129" s="221" t="s">
        <v>1376</v>
      </c>
      <c r="E129" s="222">
        <v>42.6</v>
      </c>
      <c r="F129" s="223">
        <v>1.64</v>
      </c>
      <c r="G129" s="220" t="s">
        <v>1369</v>
      </c>
      <c r="H129" s="221" t="s">
        <v>1370</v>
      </c>
    </row>
    <row r="130">
      <c r="A130" s="220">
        <v>94</v>
      </c>
      <c r="B130" s="221" t="s">
        <v>1351</v>
      </c>
      <c r="C130" s="221" t="s">
        <v>1372</v>
      </c>
      <c r="D130" s="221" t="s">
        <v>1378</v>
      </c>
      <c r="E130" s="222">
        <v>45.4</v>
      </c>
      <c r="F130" s="223">
        <v>1.47</v>
      </c>
      <c r="G130" s="220" t="s">
        <v>1369</v>
      </c>
      <c r="H130" s="221" t="s">
        <v>1370</v>
      </c>
    </row>
    <row r="131">
      <c r="A131" s="220">
        <v>95</v>
      </c>
      <c r="B131" s="221" t="s">
        <v>1351</v>
      </c>
      <c r="C131" s="221" t="s">
        <v>1380</v>
      </c>
      <c r="D131" s="221" t="s">
        <v>1378</v>
      </c>
      <c r="E131" s="222">
        <v>43.3</v>
      </c>
      <c r="F131" s="223">
        <v>1.09</v>
      </c>
      <c r="G131" s="220" t="s">
        <v>1369</v>
      </c>
      <c r="H131" s="221" t="s">
        <v>1370</v>
      </c>
    </row>
    <row r="132">
      <c r="A132" s="220">
        <v>96</v>
      </c>
      <c r="B132" s="221" t="s">
        <v>1353</v>
      </c>
      <c r="C132" s="221" t="s">
        <v>1379</v>
      </c>
      <c r="D132" s="221" t="s">
        <v>1368</v>
      </c>
      <c r="E132" s="222">
        <v>45.5</v>
      </c>
      <c r="F132" s="223">
        <v>0.82</v>
      </c>
      <c r="G132" s="220" t="s">
        <v>1369</v>
      </c>
      <c r="H132" s="221" t="s">
        <v>1370</v>
      </c>
    </row>
    <row r="133">
      <c r="A133" s="220">
        <v>97</v>
      </c>
      <c r="B133" s="221" t="s">
        <v>1351</v>
      </c>
      <c r="C133" s="221" t="s">
        <v>1367</v>
      </c>
      <c r="D133" s="221" t="s">
        <v>1378</v>
      </c>
      <c r="E133" s="222">
        <v>37.6</v>
      </c>
      <c r="F133" s="223">
        <v>1.54</v>
      </c>
      <c r="G133" s="220" t="s">
        <v>1369</v>
      </c>
      <c r="H133" s="221" t="s">
        <v>1370</v>
      </c>
    </row>
    <row r="134">
      <c r="A134" s="220">
        <v>98</v>
      </c>
      <c r="B134" s="221" t="s">
        <v>1351</v>
      </c>
      <c r="C134" s="221" t="s">
        <v>1383</v>
      </c>
      <c r="D134" s="221" t="s">
        <v>1378</v>
      </c>
      <c r="E134" s="222">
        <v>39.9</v>
      </c>
      <c r="F134" s="223">
        <v>1.14</v>
      </c>
      <c r="G134" s="220" t="s">
        <v>1369</v>
      </c>
      <c r="H134" s="221" t="s">
        <v>1370</v>
      </c>
    </row>
    <row r="135">
      <c r="A135" s="220">
        <v>99</v>
      </c>
      <c r="B135" s="221" t="s">
        <v>1351</v>
      </c>
      <c r="C135" s="221" t="s">
        <v>1383</v>
      </c>
      <c r="D135" s="221" t="s">
        <v>1378</v>
      </c>
      <c r="E135" s="222">
        <v>37.7</v>
      </c>
      <c r="F135" s="223">
        <v>2.08</v>
      </c>
      <c r="G135" s="220" t="s">
        <v>1369</v>
      </c>
      <c r="H135" s="221" t="s">
        <v>1370</v>
      </c>
    </row>
    <row r="136">
      <c r="A136" s="220">
        <v>100</v>
      </c>
      <c r="B136" s="221" t="s">
        <v>1374</v>
      </c>
      <c r="C136" s="221" t="s">
        <v>1377</v>
      </c>
      <c r="D136" s="221" t="s">
        <v>1376</v>
      </c>
      <c r="E136" s="222">
        <v>56.6</v>
      </c>
      <c r="F136" s="223">
        <v>2.93</v>
      </c>
      <c r="G136" s="220" t="s">
        <v>1381</v>
      </c>
      <c r="H136" s="221" t="s">
        <v>1382</v>
      </c>
    </row>
    <row customHeight="true" ht="15.476190476190476" r="137">
      <c r="A137" s="224">
        <v>101</v>
      </c>
      <c r="B137" s="225" t="s">
        <v>1351</v>
      </c>
      <c r="C137" s="225" t="s">
        <v>1386</v>
      </c>
      <c r="D137" s="225" t="s">
        <v>1378</v>
      </c>
      <c r="E137" s="226">
        <v>44.3</v>
      </c>
      <c r="F137" s="227">
        <v>1.94</v>
      </c>
      <c r="G137" s="224" t="s">
        <v>1369</v>
      </c>
      <c r="H137" s="225" t="s">
        <v>1370</v>
      </c>
    </row>
    <row customHeight="true" ht="15.476190476190476" r="138">
      <c r="A138" s="228">
        <v>102</v>
      </c>
      <c r="B138" s="228" t="s">
        <v>1351</v>
      </c>
      <c r="C138" s="228" t="s">
        <v>1377</v>
      </c>
      <c r="D138" s="228" t="s">
        <v>1378</v>
      </c>
      <c r="E138" s="229">
        <v>39.3</v>
      </c>
      <c r="F138" s="230">
        <v>1.54</v>
      </c>
      <c r="G138" s="228" t="s">
        <v>1369</v>
      </c>
      <c r="H138" s="228" t="s">
        <v>1370</v>
      </c>
    </row>
    <row r="139">
      <c r="A139" s="220">
        <v>103</v>
      </c>
      <c r="B139" s="221" t="s">
        <v>1371</v>
      </c>
      <c r="C139" s="221" t="s">
        <v>1386</v>
      </c>
      <c r="D139" s="221" t="s">
        <v>1373</v>
      </c>
      <c r="E139" s="222">
        <v>37.4</v>
      </c>
      <c r="F139" s="223">
        <v>1.86</v>
      </c>
      <c r="G139" s="220" t="s">
        <v>1369</v>
      </c>
      <c r="H139" s="221" t="s">
        <v>1370</v>
      </c>
    </row>
    <row r="140">
      <c r="A140" s="220">
        <v>104</v>
      </c>
      <c r="B140" s="221" t="s">
        <v>1374</v>
      </c>
      <c r="C140" s="221" t="s">
        <v>1375</v>
      </c>
      <c r="D140" s="221" t="s">
        <v>1376</v>
      </c>
      <c r="E140" s="222">
        <v>39.1</v>
      </c>
      <c r="F140" s="223">
        <v>1.95</v>
      </c>
      <c r="G140" s="220" t="s">
        <v>1369</v>
      </c>
      <c r="H140" s="221" t="s">
        <v>1370</v>
      </c>
    </row>
    <row r="141">
      <c r="A141" s="220">
        <v>105</v>
      </c>
      <c r="B141" s="231" t="s">
        <v>1374</v>
      </c>
      <c r="C141" s="221" t="s">
        <v>1388</v>
      </c>
      <c r="D141" s="221" t="s">
        <v>1376</v>
      </c>
      <c r="E141" s="222">
        <v>36.4</v>
      </c>
      <c r="F141" s="223">
        <v>0.88</v>
      </c>
      <c r="G141" s="220" t="s">
        <v>1369</v>
      </c>
      <c r="H141" s="221" t="s">
        <v>1370</v>
      </c>
    </row>
    <row r="142">
      <c r="A142" s="220">
        <v>106</v>
      </c>
      <c r="B142" s="222" t="s">
        <v>1374</v>
      </c>
      <c r="C142" s="221" t="s">
        <v>1379</v>
      </c>
      <c r="D142" s="221" t="s">
        <v>1376</v>
      </c>
      <c r="E142" s="222">
        <v>38.7</v>
      </c>
      <c r="F142" s="223">
        <v>1.92</v>
      </c>
      <c r="G142" s="220" t="s">
        <v>1369</v>
      </c>
      <c r="H142" s="221" t="s">
        <v>1370</v>
      </c>
    </row>
    <row r="143">
      <c r="A143" s="220">
        <v>107</v>
      </c>
      <c r="B143" s="223" t="s">
        <v>1374</v>
      </c>
      <c r="C143" s="221" t="s">
        <v>1380</v>
      </c>
      <c r="D143" s="221" t="s">
        <v>1376</v>
      </c>
      <c r="E143" s="222">
        <v>43</v>
      </c>
      <c r="F143" s="223">
        <v>1.02</v>
      </c>
      <c r="G143" s="220" t="s">
        <v>1369</v>
      </c>
      <c r="H143" s="221" t="s">
        <v>1370</v>
      </c>
    </row>
    <row r="144">
      <c r="A144" s="220">
        <v>108</v>
      </c>
      <c r="B144" s="221" t="s">
        <v>1351</v>
      </c>
      <c r="C144" s="221" t="s">
        <v>1385</v>
      </c>
      <c r="D144" s="221" t="s">
        <v>1378</v>
      </c>
      <c r="E144" s="222">
        <v>45.2</v>
      </c>
      <c r="F144" s="223">
        <v>1.09</v>
      </c>
      <c r="G144" s="220" t="s">
        <v>1369</v>
      </c>
      <c r="H144" s="221" t="s">
        <v>1370</v>
      </c>
    </row>
    <row r="145">
      <c r="A145" s="220">
        <v>109</v>
      </c>
      <c r="B145" s="221" t="s">
        <v>1351</v>
      </c>
      <c r="C145" s="221" t="s">
        <v>1377</v>
      </c>
      <c r="D145" s="221" t="s">
        <v>1378</v>
      </c>
      <c r="E145" s="222">
        <v>43.6</v>
      </c>
      <c r="F145" s="223">
        <v>1.22</v>
      </c>
      <c r="G145" s="220" t="s">
        <v>1369</v>
      </c>
      <c r="H145" s="221" t="s">
        <v>1370</v>
      </c>
    </row>
    <row r="146">
      <c r="A146" s="220">
        <v>110</v>
      </c>
      <c r="B146" s="221" t="s">
        <v>1374</v>
      </c>
      <c r="C146" s="221" t="s">
        <v>1383</v>
      </c>
      <c r="D146" s="221" t="s">
        <v>1376</v>
      </c>
      <c r="E146" s="222">
        <v>44</v>
      </c>
      <c r="F146" s="223">
        <v>1.02</v>
      </c>
      <c r="G146" s="220" t="s">
        <v>1369</v>
      </c>
      <c r="H146" s="221" t="s">
        <v>1370</v>
      </c>
    </row>
    <row r="147">
      <c r="A147" s="220">
        <v>111</v>
      </c>
      <c r="B147" s="221" t="s">
        <v>1353</v>
      </c>
      <c r="C147" s="221" t="s">
        <v>1377</v>
      </c>
      <c r="D147" s="221" t="s">
        <v>1368</v>
      </c>
      <c r="E147" s="222">
        <v>43.4</v>
      </c>
      <c r="F147" s="223">
        <v>1.33</v>
      </c>
      <c r="G147" s="220" t="s">
        <v>1369</v>
      </c>
      <c r="H147" s="221" t="s">
        <v>1370</v>
      </c>
    </row>
    <row r="148">
      <c r="A148" s="220">
        <v>112</v>
      </c>
      <c r="B148" s="221" t="s">
        <v>1351</v>
      </c>
      <c r="C148" s="221" t="s">
        <v>1385</v>
      </c>
      <c r="D148" s="221" t="s">
        <v>1378</v>
      </c>
      <c r="E148" s="222">
        <v>45.3</v>
      </c>
      <c r="F148" s="223">
        <v>0.58</v>
      </c>
      <c r="G148" s="220" t="s">
        <v>1369</v>
      </c>
      <c r="H148" s="221" t="s">
        <v>1370</v>
      </c>
    </row>
    <row r="149">
      <c r="A149" s="220">
        <v>113</v>
      </c>
      <c r="B149" s="221" t="s">
        <v>1353</v>
      </c>
      <c r="C149" s="221" t="s">
        <v>1380</v>
      </c>
      <c r="D149" s="221" t="s">
        <v>1368</v>
      </c>
      <c r="E149" s="222">
        <v>41.2</v>
      </c>
      <c r="F149" s="223">
        <v>0.8</v>
      </c>
      <c r="G149" s="220" t="s">
        <v>1369</v>
      </c>
      <c r="H149" s="221" t="s">
        <v>1370</v>
      </c>
    </row>
    <row r="150">
      <c r="A150" s="220">
        <v>114</v>
      </c>
      <c r="B150" s="221" t="s">
        <v>1374</v>
      </c>
      <c r="C150" s="221" t="s">
        <v>1380</v>
      </c>
      <c r="D150" s="221" t="s">
        <v>1376</v>
      </c>
      <c r="E150" s="222">
        <v>39.7</v>
      </c>
      <c r="F150" s="223">
        <v>2</v>
      </c>
      <c r="G150" s="220" t="s">
        <v>1369</v>
      </c>
      <c r="H150" s="221" t="s">
        <v>1370</v>
      </c>
    </row>
    <row r="151">
      <c r="A151" s="220">
        <v>115</v>
      </c>
      <c r="B151" s="221" t="s">
        <v>1353</v>
      </c>
      <c r="C151" s="221" t="s">
        <v>1388</v>
      </c>
      <c r="D151" s="221" t="s">
        <v>1368</v>
      </c>
      <c r="E151" s="222">
        <v>36.6</v>
      </c>
      <c r="F151" s="223">
        <v>0.94</v>
      </c>
      <c r="G151" s="220" t="s">
        <v>1369</v>
      </c>
      <c r="H151" s="221" t="s">
        <v>1370</v>
      </c>
    </row>
    <row r="152">
      <c r="A152" s="220">
        <v>116</v>
      </c>
      <c r="B152" s="221" t="s">
        <v>1353</v>
      </c>
      <c r="C152" s="221" t="s">
        <v>1375</v>
      </c>
      <c r="D152" s="221" t="s">
        <v>1368</v>
      </c>
      <c r="E152" s="222">
        <v>43.4</v>
      </c>
      <c r="F152" s="223">
        <v>0.54</v>
      </c>
      <c r="G152" s="220" t="s">
        <v>1369</v>
      </c>
      <c r="H152" s="221" t="s">
        <v>1370</v>
      </c>
    </row>
    <row r="153">
      <c r="A153" s="220">
        <v>117</v>
      </c>
      <c r="B153" s="221" t="s">
        <v>1374</v>
      </c>
      <c r="C153" s="221" t="s">
        <v>1375</v>
      </c>
      <c r="D153" s="221" t="s">
        <v>1376</v>
      </c>
      <c r="E153" s="222">
        <v>38</v>
      </c>
      <c r="F153" s="223">
        <v>1.08</v>
      </c>
      <c r="G153" s="220" t="s">
        <v>1369</v>
      </c>
      <c r="H153" s="221" t="s">
        <v>1370</v>
      </c>
    </row>
    <row r="154">
      <c r="A154" s="220">
        <v>118</v>
      </c>
      <c r="B154" s="221" t="s">
        <v>1374</v>
      </c>
      <c r="C154" s="221" t="s">
        <v>1372</v>
      </c>
      <c r="D154" s="221" t="s">
        <v>1376</v>
      </c>
      <c r="E154" s="222">
        <v>41.7</v>
      </c>
      <c r="F154" s="223">
        <v>2.07</v>
      </c>
      <c r="G154" s="220" t="s">
        <v>1369</v>
      </c>
      <c r="H154" s="221" t="s">
        <v>1370</v>
      </c>
    </row>
    <row r="155">
      <c r="A155" s="220">
        <v>119</v>
      </c>
      <c r="B155" s="221" t="s">
        <v>1351</v>
      </c>
      <c r="C155" s="221" t="s">
        <v>1388</v>
      </c>
      <c r="D155" s="221" t="s">
        <v>1378</v>
      </c>
      <c r="E155" s="222">
        <v>45.6</v>
      </c>
      <c r="F155" s="223">
        <v>0.94</v>
      </c>
      <c r="G155" s="220" t="s">
        <v>1369</v>
      </c>
      <c r="H155" s="221" t="s">
        <v>1370</v>
      </c>
    </row>
    <row r="156">
      <c r="A156" s="220">
        <v>120</v>
      </c>
      <c r="B156" s="221" t="s">
        <v>1374</v>
      </c>
      <c r="C156" s="221" t="s">
        <v>1383</v>
      </c>
      <c r="D156" s="221" t="s">
        <v>1376</v>
      </c>
      <c r="E156" s="222">
        <v>43.8</v>
      </c>
      <c r="F156" s="223">
        <v>0.74</v>
      </c>
      <c r="G156" s="220" t="s">
        <v>1369</v>
      </c>
      <c r="H156" s="221" t="s">
        <v>1370</v>
      </c>
    </row>
    <row r="157">
      <c r="A157" s="220">
        <v>121</v>
      </c>
      <c r="B157" s="221" t="s">
        <v>1351</v>
      </c>
      <c r="C157" s="221" t="s">
        <v>1375</v>
      </c>
      <c r="D157" s="221" t="s">
        <v>1378</v>
      </c>
      <c r="E157" s="222">
        <v>40</v>
      </c>
      <c r="F157" s="223">
        <v>2.01</v>
      </c>
      <c r="G157" s="220" t="s">
        <v>1369</v>
      </c>
      <c r="H157" s="221" t="s">
        <v>1370</v>
      </c>
    </row>
    <row r="158">
      <c r="A158" s="220">
        <v>122</v>
      </c>
      <c r="B158" s="221" t="s">
        <v>1374</v>
      </c>
      <c r="C158" s="221" t="s">
        <v>1372</v>
      </c>
      <c r="D158" s="221" t="s">
        <v>1376</v>
      </c>
      <c r="E158" s="222">
        <v>38.4</v>
      </c>
      <c r="F158" s="223">
        <v>2.09</v>
      </c>
      <c r="G158" s="220" t="s">
        <v>1369</v>
      </c>
      <c r="H158" s="221" t="s">
        <v>1370</v>
      </c>
    </row>
    <row r="159">
      <c r="A159" s="220">
        <v>123</v>
      </c>
      <c r="B159" s="221" t="s">
        <v>1351</v>
      </c>
      <c r="C159" s="221" t="s">
        <v>1377</v>
      </c>
      <c r="D159" s="221" t="s">
        <v>1378</v>
      </c>
      <c r="E159" s="222">
        <v>41.6</v>
      </c>
      <c r="F159" s="223">
        <v>1.73</v>
      </c>
      <c r="G159" s="220" t="s">
        <v>1369</v>
      </c>
      <c r="H159" s="221" t="s">
        <v>1370</v>
      </c>
    </row>
    <row r="160">
      <c r="A160" s="220">
        <v>124</v>
      </c>
      <c r="B160" s="221" t="s">
        <v>1371</v>
      </c>
      <c r="C160" s="221" t="s">
        <v>1380</v>
      </c>
      <c r="D160" s="221" t="s">
        <v>1373</v>
      </c>
      <c r="E160" s="222">
        <v>37.7</v>
      </c>
      <c r="F160" s="223">
        <v>1.14</v>
      </c>
      <c r="G160" s="220" t="s">
        <v>1369</v>
      </c>
      <c r="H160" s="221" t="s">
        <v>1370</v>
      </c>
    </row>
    <row r="161">
      <c r="A161" s="220">
        <v>125</v>
      </c>
      <c r="B161" s="221" t="s">
        <v>1374</v>
      </c>
      <c r="C161" s="221" t="s">
        <v>1386</v>
      </c>
      <c r="D161" s="221" t="s">
        <v>1376</v>
      </c>
      <c r="E161" s="222">
        <v>43.2</v>
      </c>
      <c r="F161" s="223">
        <v>0.68</v>
      </c>
      <c r="G161" s="220" t="s">
        <v>1369</v>
      </c>
      <c r="H161" s="221" t="s">
        <v>1370</v>
      </c>
    </row>
    <row r="162">
      <c r="A162" s="220">
        <v>126</v>
      </c>
      <c r="B162" s="221" t="s">
        <v>1371</v>
      </c>
      <c r="C162" s="221" t="s">
        <v>1367</v>
      </c>
      <c r="D162" s="221" t="s">
        <v>1373</v>
      </c>
      <c r="E162" s="222">
        <v>38.2</v>
      </c>
      <c r="F162" s="223">
        <v>0.9</v>
      </c>
      <c r="G162" s="220" t="s">
        <v>1369</v>
      </c>
      <c r="H162" s="221" t="s">
        <v>1370</v>
      </c>
    </row>
    <row r="163">
      <c r="A163" s="220">
        <v>127</v>
      </c>
      <c r="B163" s="221" t="s">
        <v>1374</v>
      </c>
      <c r="C163" s="221" t="s">
        <v>1384</v>
      </c>
      <c r="D163" s="221" t="s">
        <v>1376</v>
      </c>
      <c r="E163" s="222">
        <v>42.3</v>
      </c>
      <c r="F163" s="223">
        <v>0.96</v>
      </c>
      <c r="G163" s="220" t="s">
        <v>1369</v>
      </c>
      <c r="H163" s="221" t="s">
        <v>1370</v>
      </c>
    </row>
    <row r="164">
      <c r="A164" s="220">
        <v>128</v>
      </c>
      <c r="B164" s="221" t="s">
        <v>1371</v>
      </c>
      <c r="C164" s="221" t="s">
        <v>1380</v>
      </c>
      <c r="D164" s="221" t="s">
        <v>1373</v>
      </c>
      <c r="E164" s="222">
        <v>45.7</v>
      </c>
      <c r="F164" s="223">
        <v>1.38</v>
      </c>
      <c r="G164" s="220" t="s">
        <v>1369</v>
      </c>
      <c r="H164" s="221" t="s">
        <v>1370</v>
      </c>
    </row>
    <row r="165">
      <c r="A165" s="220">
        <v>129</v>
      </c>
      <c r="B165" s="221" t="s">
        <v>1374</v>
      </c>
      <c r="C165" s="221" t="s">
        <v>1386</v>
      </c>
      <c r="D165" s="221" t="s">
        <v>1376</v>
      </c>
      <c r="E165" s="222">
        <v>44.4</v>
      </c>
      <c r="F165" s="223">
        <v>1.63</v>
      </c>
      <c r="G165" s="220" t="s">
        <v>1369</v>
      </c>
      <c r="H165" s="221" t="s">
        <v>1370</v>
      </c>
    </row>
    <row r="166">
      <c r="A166" s="220">
        <v>130</v>
      </c>
      <c r="B166" s="221" t="s">
        <v>1351</v>
      </c>
      <c r="C166" s="221" t="s">
        <v>1380</v>
      </c>
      <c r="D166" s="221" t="s">
        <v>1378</v>
      </c>
      <c r="E166" s="222">
        <v>37.3</v>
      </c>
      <c r="F166" s="223">
        <v>1.06</v>
      </c>
      <c r="G166" s="220" t="s">
        <v>1369</v>
      </c>
      <c r="H166" s="221" t="s">
        <v>1370</v>
      </c>
    </row>
    <row r="167">
      <c r="A167" s="220">
        <v>131</v>
      </c>
      <c r="B167" s="221" t="s">
        <v>1374</v>
      </c>
      <c r="C167" s="221" t="s">
        <v>1380</v>
      </c>
      <c r="D167" s="221" t="s">
        <v>1376</v>
      </c>
      <c r="E167" s="222">
        <v>37.5</v>
      </c>
      <c r="F167" s="223">
        <v>1.83</v>
      </c>
      <c r="G167" s="220" t="s">
        <v>1369</v>
      </c>
      <c r="H167" s="221" t="s">
        <v>1370</v>
      </c>
    </row>
    <row r="168">
      <c r="A168" s="220">
        <v>132</v>
      </c>
      <c r="B168" s="221" t="s">
        <v>1353</v>
      </c>
      <c r="C168" s="221" t="s">
        <v>1385</v>
      </c>
      <c r="D168" s="221" t="s">
        <v>1368</v>
      </c>
      <c r="E168" s="222">
        <v>40</v>
      </c>
      <c r="F168" s="223">
        <v>0.68</v>
      </c>
      <c r="G168" s="220" t="s">
        <v>1369</v>
      </c>
      <c r="H168" s="221" t="s">
        <v>1370</v>
      </c>
    </row>
    <row r="169">
      <c r="A169" s="220">
        <v>133</v>
      </c>
      <c r="B169" s="221" t="s">
        <v>1351</v>
      </c>
      <c r="C169" s="221" t="s">
        <v>1385</v>
      </c>
      <c r="D169" s="221" t="s">
        <v>1378</v>
      </c>
      <c r="E169" s="222">
        <v>55.5</v>
      </c>
      <c r="F169" s="223">
        <v>3.49</v>
      </c>
      <c r="G169" s="220" t="s">
        <v>1381</v>
      </c>
      <c r="H169" s="221" t="s">
        <v>1390</v>
      </c>
    </row>
    <row r="170">
      <c r="A170" s="220">
        <v>134</v>
      </c>
      <c r="B170" s="221" t="s">
        <v>1374</v>
      </c>
      <c r="C170" s="221" t="s">
        <v>1388</v>
      </c>
      <c r="D170" s="221" t="s">
        <v>1376</v>
      </c>
      <c r="E170" s="222">
        <v>45</v>
      </c>
      <c r="F170" s="223">
        <v>0.57</v>
      </c>
      <c r="G170" s="220" t="s">
        <v>1369</v>
      </c>
      <c r="H170" s="221" t="s">
        <v>1370</v>
      </c>
    </row>
    <row r="171">
      <c r="A171" s="220">
        <v>135</v>
      </c>
      <c r="B171" s="221" t="s">
        <v>1374</v>
      </c>
      <c r="C171" s="221" t="s">
        <v>1386</v>
      </c>
      <c r="D171" s="221" t="s">
        <v>1376</v>
      </c>
      <c r="E171" s="222">
        <v>42.4</v>
      </c>
      <c r="F171" s="223">
        <v>1.49</v>
      </c>
      <c r="G171" s="220" t="s">
        <v>1369</v>
      </c>
      <c r="H171" s="221" t="s">
        <v>1370</v>
      </c>
    </row>
    <row r="172">
      <c r="A172" s="220">
        <v>136</v>
      </c>
      <c r="B172" s="221" t="s">
        <v>1374</v>
      </c>
      <c r="C172" s="221" t="s">
        <v>1372</v>
      </c>
      <c r="D172" s="221" t="s">
        <v>1376</v>
      </c>
      <c r="E172" s="222">
        <v>42.7</v>
      </c>
      <c r="F172" s="223">
        <v>1.64</v>
      </c>
      <c r="G172" s="220" t="s">
        <v>1369</v>
      </c>
      <c r="H172" s="221" t="s">
        <v>1370</v>
      </c>
    </row>
    <row r="173">
      <c r="A173" s="220">
        <v>137</v>
      </c>
      <c r="B173" s="221" t="s">
        <v>1374</v>
      </c>
      <c r="C173" s="221" t="s">
        <v>1367</v>
      </c>
      <c r="D173" s="221" t="s">
        <v>1376</v>
      </c>
      <c r="E173" s="222">
        <v>39.6</v>
      </c>
      <c r="F173" s="223">
        <v>0.95</v>
      </c>
      <c r="G173" s="220" t="s">
        <v>1369</v>
      </c>
      <c r="H173" s="221" t="s">
        <v>1370</v>
      </c>
    </row>
    <row r="174">
      <c r="A174" s="220">
        <v>138</v>
      </c>
      <c r="B174" s="221" t="s">
        <v>1374</v>
      </c>
      <c r="C174" s="221" t="s">
        <v>1379</v>
      </c>
      <c r="D174" s="221" t="s">
        <v>1376</v>
      </c>
      <c r="E174" s="222">
        <v>40.4</v>
      </c>
      <c r="F174" s="223">
        <v>1.03</v>
      </c>
      <c r="G174" s="220" t="s">
        <v>1369</v>
      </c>
      <c r="H174" s="221" t="s">
        <v>1370</v>
      </c>
    </row>
    <row r="175">
      <c r="A175" s="220">
        <v>139</v>
      </c>
      <c r="B175" s="221" t="s">
        <v>1371</v>
      </c>
      <c r="C175" s="221" t="s">
        <v>1385</v>
      </c>
      <c r="D175" s="221" t="s">
        <v>1373</v>
      </c>
      <c r="E175" s="222">
        <v>38.1</v>
      </c>
      <c r="F175" s="223">
        <v>0.8</v>
      </c>
      <c r="G175" s="220" t="s">
        <v>1369</v>
      </c>
      <c r="H175" s="221" t="s">
        <v>1370</v>
      </c>
    </row>
    <row r="176">
      <c r="A176" s="220">
        <v>140</v>
      </c>
      <c r="B176" s="221" t="s">
        <v>1353</v>
      </c>
      <c r="C176" s="221" t="s">
        <v>1367</v>
      </c>
      <c r="D176" s="221" t="s">
        <v>1368</v>
      </c>
      <c r="E176" s="222">
        <v>40.8</v>
      </c>
      <c r="F176" s="223">
        <v>0.89</v>
      </c>
      <c r="G176" s="220" t="s">
        <v>1369</v>
      </c>
      <c r="H176" s="221" t="s">
        <v>1370</v>
      </c>
    </row>
    <row r="177">
      <c r="A177" s="220">
        <v>141</v>
      </c>
      <c r="B177" s="221" t="s">
        <v>1374</v>
      </c>
      <c r="C177" s="221" t="s">
        <v>1389</v>
      </c>
      <c r="D177" s="221" t="s">
        <v>1376</v>
      </c>
      <c r="E177" s="222">
        <v>38.7</v>
      </c>
      <c r="F177" s="223">
        <v>0.74</v>
      </c>
      <c r="G177" s="220" t="s">
        <v>1369</v>
      </c>
      <c r="H177" s="221" t="s">
        <v>1370</v>
      </c>
    </row>
    <row r="178">
      <c r="A178" s="220">
        <v>142</v>
      </c>
      <c r="B178" s="221" t="s">
        <v>1374</v>
      </c>
      <c r="C178" s="221" t="s">
        <v>1383</v>
      </c>
      <c r="D178" s="221" t="s">
        <v>1376</v>
      </c>
      <c r="E178" s="222">
        <v>44.4</v>
      </c>
      <c r="F178" s="223">
        <v>1.93</v>
      </c>
      <c r="G178" s="220" t="s">
        <v>1369</v>
      </c>
      <c r="H178" s="221" t="s">
        <v>1370</v>
      </c>
    </row>
    <row r="179">
      <c r="A179" s="220">
        <v>143</v>
      </c>
      <c r="B179" s="221" t="s">
        <v>1371</v>
      </c>
      <c r="C179" s="221" t="s">
        <v>1389</v>
      </c>
      <c r="D179" s="221" t="s">
        <v>1373</v>
      </c>
      <c r="E179" s="222">
        <v>37.7</v>
      </c>
      <c r="F179" s="223">
        <v>1.86</v>
      </c>
      <c r="G179" s="220" t="s">
        <v>1369</v>
      </c>
      <c r="H179" s="221" t="s">
        <v>1370</v>
      </c>
    </row>
    <row r="180">
      <c r="A180" s="220">
        <v>144</v>
      </c>
      <c r="B180" s="221" t="s">
        <v>1351</v>
      </c>
      <c r="C180" s="221" t="s">
        <v>1388</v>
      </c>
      <c r="D180" s="221" t="s">
        <v>1378</v>
      </c>
      <c r="E180" s="222">
        <v>45.6</v>
      </c>
      <c r="F180" s="223">
        <v>1.85</v>
      </c>
      <c r="G180" s="220" t="s">
        <v>1369</v>
      </c>
      <c r="H180" s="221" t="s">
        <v>1370</v>
      </c>
    </row>
    <row r="181">
      <c r="A181" s="220">
        <v>145</v>
      </c>
      <c r="B181" s="221" t="s">
        <v>1374</v>
      </c>
      <c r="C181" s="221" t="s">
        <v>1385</v>
      </c>
      <c r="D181" s="221" t="s">
        <v>1376</v>
      </c>
      <c r="E181" s="222">
        <v>37.3</v>
      </c>
      <c r="F181" s="223">
        <v>1.81</v>
      </c>
      <c r="G181" s="220" t="s">
        <v>1369</v>
      </c>
      <c r="H181" s="221" t="s">
        <v>1370</v>
      </c>
    </row>
    <row r="182">
      <c r="A182" s="220">
        <v>146</v>
      </c>
      <c r="B182" s="221" t="s">
        <v>1351</v>
      </c>
      <c r="C182" s="221" t="s">
        <v>1385</v>
      </c>
      <c r="D182" s="221" t="s">
        <v>1378</v>
      </c>
      <c r="E182" s="222">
        <v>40.1</v>
      </c>
      <c r="F182" s="223">
        <v>1.84</v>
      </c>
      <c r="G182" s="220" t="s">
        <v>1369</v>
      </c>
      <c r="H182" s="221" t="s">
        <v>1370</v>
      </c>
    </row>
    <row r="183">
      <c r="A183" s="220">
        <v>147</v>
      </c>
      <c r="B183" s="221" t="s">
        <v>1374</v>
      </c>
      <c r="C183" s="221" t="s">
        <v>1372</v>
      </c>
      <c r="D183" s="221" t="s">
        <v>1376</v>
      </c>
      <c r="E183" s="222">
        <v>40.6</v>
      </c>
      <c r="F183" s="223">
        <v>0.91</v>
      </c>
      <c r="G183" s="220" t="s">
        <v>1369</v>
      </c>
      <c r="H183" s="221" t="s">
        <v>1370</v>
      </c>
    </row>
    <row r="184">
      <c r="A184" s="220">
        <v>148</v>
      </c>
      <c r="B184" s="221" t="s">
        <v>1374</v>
      </c>
      <c r="C184" s="221" t="s">
        <v>1388</v>
      </c>
      <c r="D184" s="221" t="s">
        <v>1376</v>
      </c>
      <c r="E184" s="222">
        <v>39.8</v>
      </c>
      <c r="F184" s="223">
        <v>0.75</v>
      </c>
      <c r="G184" s="220" t="s">
        <v>1369</v>
      </c>
      <c r="H184" s="221" t="s">
        <v>1370</v>
      </c>
    </row>
    <row r="185">
      <c r="A185" s="220">
        <v>149</v>
      </c>
      <c r="B185" s="221" t="s">
        <v>1351</v>
      </c>
      <c r="C185" s="221" t="s">
        <v>1384</v>
      </c>
      <c r="D185" s="221" t="s">
        <v>1378</v>
      </c>
      <c r="E185" s="222">
        <v>45.1</v>
      </c>
      <c r="F185" s="223">
        <v>1.75</v>
      </c>
      <c r="G185" s="220" t="s">
        <v>1369</v>
      </c>
      <c r="H185" s="221" t="s">
        <v>1370</v>
      </c>
    </row>
    <row r="186">
      <c r="A186" s="220">
        <v>150</v>
      </c>
      <c r="B186" s="221" t="s">
        <v>1351</v>
      </c>
      <c r="C186" s="221" t="s">
        <v>1388</v>
      </c>
      <c r="D186" s="221" t="s">
        <v>1378</v>
      </c>
      <c r="E186" s="222">
        <v>42.5</v>
      </c>
      <c r="F186" s="223">
        <v>1.15</v>
      </c>
      <c r="G186" s="220" t="s">
        <v>1369</v>
      </c>
      <c r="H186" s="221" t="s">
        <v>1370</v>
      </c>
    </row>
    <row r="187">
      <c r="A187" s="220">
        <v>151</v>
      </c>
      <c r="B187" s="221" t="s">
        <v>1374</v>
      </c>
      <c r="C187" s="221" t="s">
        <v>1377</v>
      </c>
      <c r="D187" s="221" t="s">
        <v>1376</v>
      </c>
      <c r="E187" s="222">
        <v>40.6</v>
      </c>
      <c r="F187" s="223">
        <v>1.51</v>
      </c>
      <c r="G187" s="220" t="s">
        <v>1369</v>
      </c>
      <c r="H187" s="221" t="s">
        <v>1370</v>
      </c>
    </row>
    <row r="188">
      <c r="A188" s="220">
        <v>152</v>
      </c>
      <c r="B188" s="221" t="s">
        <v>1374</v>
      </c>
      <c r="C188" s="221" t="s">
        <v>1377</v>
      </c>
      <c r="D188" s="221" t="s">
        <v>1376</v>
      </c>
      <c r="E188" s="222">
        <v>41.4</v>
      </c>
      <c r="F188" s="223">
        <v>1.04</v>
      </c>
      <c r="G188" s="220" t="s">
        <v>1369</v>
      </c>
      <c r="H188" s="221" t="s">
        <v>1370</v>
      </c>
    </row>
    <row r="189">
      <c r="A189" s="220">
        <v>153</v>
      </c>
      <c r="B189" s="221" t="s">
        <v>1351</v>
      </c>
      <c r="C189" s="221" t="s">
        <v>1377</v>
      </c>
      <c r="D189" s="221" t="s">
        <v>1378</v>
      </c>
      <c r="E189" s="222">
        <v>38.1</v>
      </c>
      <c r="F189" s="223">
        <v>2.03</v>
      </c>
      <c r="G189" s="220" t="s">
        <v>1369</v>
      </c>
      <c r="H189" s="221" t="s">
        <v>1370</v>
      </c>
    </row>
    <row r="190">
      <c r="A190" s="220">
        <v>154</v>
      </c>
      <c r="B190" s="221" t="s">
        <v>1374</v>
      </c>
      <c r="C190" s="221" t="s">
        <v>1389</v>
      </c>
      <c r="D190" s="221" t="s">
        <v>1376</v>
      </c>
      <c r="E190" s="222">
        <v>44.8</v>
      </c>
      <c r="F190" s="223">
        <v>1.26</v>
      </c>
      <c r="G190" s="220" t="s">
        <v>1369</v>
      </c>
      <c r="H190" s="221" t="s">
        <v>1370</v>
      </c>
    </row>
    <row r="191">
      <c r="A191" s="220">
        <v>155</v>
      </c>
      <c r="B191" s="221" t="s">
        <v>1371</v>
      </c>
      <c r="C191" s="221" t="s">
        <v>1379</v>
      </c>
      <c r="D191" s="221" t="s">
        <v>1373</v>
      </c>
      <c r="E191" s="222">
        <v>39.5</v>
      </c>
      <c r="F191" s="223">
        <v>1.3</v>
      </c>
      <c r="G191" s="220" t="s">
        <v>1369</v>
      </c>
      <c r="H191" s="221" t="s">
        <v>1370</v>
      </c>
    </row>
    <row r="192">
      <c r="A192" s="220">
        <v>156</v>
      </c>
      <c r="B192" s="221" t="s">
        <v>1351</v>
      </c>
      <c r="C192" s="221" t="s">
        <v>1379</v>
      </c>
      <c r="D192" s="221" t="s">
        <v>1378</v>
      </c>
      <c r="E192" s="222">
        <v>42.3</v>
      </c>
      <c r="F192" s="223">
        <v>1.91</v>
      </c>
      <c r="G192" s="220" t="s">
        <v>1369</v>
      </c>
      <c r="H192" s="221" t="s">
        <v>1370</v>
      </c>
    </row>
    <row r="193">
      <c r="A193" s="220">
        <v>157</v>
      </c>
      <c r="B193" s="221" t="s">
        <v>1351</v>
      </c>
      <c r="C193" s="221" t="s">
        <v>1385</v>
      </c>
      <c r="D193" s="221" t="s">
        <v>1378</v>
      </c>
      <c r="E193" s="222">
        <v>42.5</v>
      </c>
      <c r="F193" s="223">
        <v>1.73</v>
      </c>
      <c r="G193" s="220" t="s">
        <v>1369</v>
      </c>
      <c r="H193" s="221" t="s">
        <v>1370</v>
      </c>
    </row>
    <row r="194">
      <c r="A194" s="220">
        <v>158</v>
      </c>
      <c r="B194" s="221" t="s">
        <v>1371</v>
      </c>
      <c r="C194" s="221" t="s">
        <v>1383</v>
      </c>
      <c r="D194" s="221" t="s">
        <v>1373</v>
      </c>
      <c r="E194" s="222">
        <v>41.6</v>
      </c>
      <c r="F194" s="223">
        <v>2.05</v>
      </c>
      <c r="G194" s="220" t="s">
        <v>1369</v>
      </c>
      <c r="H194" s="221" t="s">
        <v>1370</v>
      </c>
    </row>
    <row r="195">
      <c r="A195" s="220">
        <v>159</v>
      </c>
      <c r="B195" s="221" t="s">
        <v>1374</v>
      </c>
      <c r="C195" s="221" t="s">
        <v>1389</v>
      </c>
      <c r="D195" s="221" t="s">
        <v>1376</v>
      </c>
      <c r="E195" s="222">
        <v>41.5</v>
      </c>
      <c r="F195" s="223">
        <v>1.98</v>
      </c>
      <c r="G195" s="220" t="s">
        <v>1369</v>
      </c>
      <c r="H195" s="221" t="s">
        <v>1370</v>
      </c>
    </row>
    <row r="196">
      <c r="A196" s="220">
        <v>160</v>
      </c>
      <c r="B196" s="221" t="s">
        <v>1374</v>
      </c>
      <c r="C196" s="221" t="s">
        <v>1383</v>
      </c>
      <c r="D196" s="221" t="s">
        <v>1376</v>
      </c>
      <c r="E196" s="222">
        <v>37.3</v>
      </c>
      <c r="F196" s="223">
        <v>1.58</v>
      </c>
      <c r="G196" s="220" t="s">
        <v>1369</v>
      </c>
      <c r="H196" s="221" t="s">
        <v>1370</v>
      </c>
    </row>
    <row r="197">
      <c r="A197" s="220">
        <v>161</v>
      </c>
      <c r="B197" s="221" t="s">
        <v>1374</v>
      </c>
      <c r="C197" s="221" t="s">
        <v>1384</v>
      </c>
      <c r="D197" s="221" t="s">
        <v>1376</v>
      </c>
      <c r="E197" s="222">
        <v>44.2</v>
      </c>
      <c r="F197" s="223">
        <v>1.33</v>
      </c>
      <c r="G197" s="220" t="s">
        <v>1369</v>
      </c>
      <c r="H197" s="221" t="s">
        <v>1370</v>
      </c>
    </row>
    <row r="198">
      <c r="A198" s="220">
        <v>162</v>
      </c>
      <c r="B198" s="221" t="s">
        <v>1374</v>
      </c>
      <c r="C198" s="221" t="s">
        <v>1367</v>
      </c>
      <c r="D198" s="221" t="s">
        <v>1376</v>
      </c>
      <c r="E198" s="222">
        <v>43.5</v>
      </c>
      <c r="F198" s="223">
        <v>0.99</v>
      </c>
      <c r="G198" s="220" t="s">
        <v>1369</v>
      </c>
      <c r="H198" s="221" t="s">
        <v>1370</v>
      </c>
    </row>
    <row r="199">
      <c r="A199" s="220">
        <v>163</v>
      </c>
      <c r="B199" s="221" t="s">
        <v>1374</v>
      </c>
      <c r="C199" s="221" t="s">
        <v>1383</v>
      </c>
      <c r="D199" s="221" t="s">
        <v>1376</v>
      </c>
      <c r="E199" s="222">
        <v>42.2</v>
      </c>
      <c r="F199" s="223">
        <v>0.76</v>
      </c>
      <c r="G199" s="220" t="s">
        <v>1369</v>
      </c>
      <c r="H199" s="221" t="s">
        <v>1370</v>
      </c>
    </row>
    <row r="200">
      <c r="A200" s="220">
        <v>164</v>
      </c>
      <c r="B200" s="221" t="s">
        <v>1371</v>
      </c>
      <c r="C200" s="221" t="s">
        <v>1379</v>
      </c>
      <c r="D200" s="221" t="s">
        <v>1373</v>
      </c>
      <c r="E200" s="222">
        <v>37.1</v>
      </c>
      <c r="F200" s="223">
        <v>0.79</v>
      </c>
      <c r="G200" s="220" t="s">
        <v>1369</v>
      </c>
      <c r="H200" s="221" t="s">
        <v>1370</v>
      </c>
    </row>
    <row customHeight="true" ht="16.071428571428573" r="201">
      <c r="A201" s="220">
        <v>165</v>
      </c>
      <c r="B201" s="221" t="s">
        <v>1374</v>
      </c>
      <c r="C201" s="221" t="s">
        <v>1383</v>
      </c>
      <c r="D201" s="221" t="s">
        <v>1376</v>
      </c>
      <c r="E201" s="222">
        <v>41.5</v>
      </c>
      <c r="F201" s="223">
        <v>1.85</v>
      </c>
      <c r="G201" s="220" t="s">
        <v>1369</v>
      </c>
      <c r="H201" s="221" t="s">
        <v>1370</v>
      </c>
    </row>
    <row customHeight="true" ht="16.071428571428573" r="202">
      <c r="A202" s="220">
        <v>166</v>
      </c>
      <c r="B202" s="221" t="s">
        <v>1374</v>
      </c>
      <c r="C202" s="221" t="s">
        <v>1386</v>
      </c>
      <c r="D202" s="221" t="s">
        <v>1376</v>
      </c>
      <c r="E202" s="222">
        <v>40.5</v>
      </c>
      <c r="F202" s="223">
        <v>1.28</v>
      </c>
      <c r="G202" s="220" t="s">
        <v>1369</v>
      </c>
      <c r="H202" s="221" t="s">
        <v>1370</v>
      </c>
    </row>
    <row customHeight="true" ht="16.071428571428573" r="203">
      <c r="A203" s="220">
        <v>167</v>
      </c>
      <c r="B203" s="221" t="s">
        <v>1374</v>
      </c>
      <c r="C203" s="221" t="s">
        <v>1375</v>
      </c>
      <c r="D203" s="221" t="s">
        <v>1376</v>
      </c>
      <c r="E203" s="222">
        <v>39.6</v>
      </c>
      <c r="F203" s="223">
        <v>1.51</v>
      </c>
      <c r="G203" s="220" t="s">
        <v>1369</v>
      </c>
      <c r="H203" s="221" t="s">
        <v>1370</v>
      </c>
    </row>
    <row customHeight="true" ht="16.071428571428573" r="204">
      <c r="A204" s="220">
        <v>168</v>
      </c>
      <c r="B204" s="221" t="s">
        <v>1371</v>
      </c>
      <c r="C204" s="221" t="s">
        <v>1372</v>
      </c>
      <c r="D204" s="221" t="s">
        <v>1373</v>
      </c>
      <c r="E204" s="222">
        <v>44</v>
      </c>
      <c r="F204" s="223">
        <v>0.65</v>
      </c>
      <c r="G204" s="220" t="s">
        <v>1369</v>
      </c>
      <c r="H204" s="221" t="s">
        <v>1370</v>
      </c>
    </row>
    <row customHeight="true" ht="16.071428571428573" r="205">
      <c r="A205" s="220">
        <v>169</v>
      </c>
      <c r="B205" s="221" t="s">
        <v>1351</v>
      </c>
      <c r="C205" s="221" t="s">
        <v>1367</v>
      </c>
      <c r="D205" s="221" t="s">
        <v>1378</v>
      </c>
      <c r="E205" s="222">
        <v>38.8</v>
      </c>
      <c r="F205" s="223">
        <v>0.82</v>
      </c>
      <c r="G205" s="220" t="s">
        <v>1369</v>
      </c>
      <c r="H205" s="221" t="s">
        <v>1370</v>
      </c>
    </row>
    <row customHeight="true" ht="16.071428571428573" r="206">
      <c r="A206" s="220">
        <v>170</v>
      </c>
      <c r="B206" s="221" t="s">
        <v>1374</v>
      </c>
      <c r="C206" s="221" t="s">
        <v>1377</v>
      </c>
      <c r="D206" s="221" t="s">
        <v>1376</v>
      </c>
      <c r="E206" s="222">
        <v>43.5</v>
      </c>
      <c r="F206" s="223">
        <v>0.79</v>
      </c>
      <c r="G206" s="220" t="s">
        <v>1369</v>
      </c>
      <c r="H206" s="221" t="s">
        <v>1370</v>
      </c>
    </row>
    <row customHeight="true" ht="16.071428571428573" r="207">
      <c r="A207" s="220">
        <v>171</v>
      </c>
      <c r="B207" s="221" t="s">
        <v>1353</v>
      </c>
      <c r="C207" s="221" t="s">
        <v>1380</v>
      </c>
      <c r="D207" s="221" t="s">
        <v>1368</v>
      </c>
      <c r="E207" s="222">
        <v>39.9</v>
      </c>
      <c r="F207" s="223">
        <v>0.65</v>
      </c>
      <c r="G207" s="220" t="s">
        <v>1369</v>
      </c>
      <c r="H207" s="221" t="s">
        <v>1370</v>
      </c>
    </row>
    <row customHeight="true" ht="16.071428571428573" r="208">
      <c r="A208" s="220">
        <v>172</v>
      </c>
      <c r="B208" s="221" t="s">
        <v>1374</v>
      </c>
      <c r="C208" s="221" t="s">
        <v>1383</v>
      </c>
      <c r="D208" s="221" t="s">
        <v>1376</v>
      </c>
      <c r="E208" s="222">
        <v>41.4</v>
      </c>
      <c r="F208" s="223">
        <v>0.75</v>
      </c>
      <c r="G208" s="220" t="s">
        <v>1369</v>
      </c>
      <c r="H208" s="221" t="s">
        <v>1370</v>
      </c>
    </row>
    <row customHeight="true" ht="16.071428571428573" r="209">
      <c r="A209" s="220">
        <v>173</v>
      </c>
      <c r="B209" s="221" t="s">
        <v>1374</v>
      </c>
      <c r="C209" s="221" t="s">
        <v>1385</v>
      </c>
      <c r="D209" s="221" t="s">
        <v>1376</v>
      </c>
      <c r="E209" s="222">
        <v>37.1</v>
      </c>
      <c r="F209" s="223">
        <v>1.81</v>
      </c>
      <c r="G209" s="220" t="s">
        <v>1369</v>
      </c>
      <c r="H209" s="221" t="s">
        <v>1370</v>
      </c>
    </row>
    <row customHeight="true" ht="16.071428571428573" r="210">
      <c r="A210" s="220">
        <v>174</v>
      </c>
      <c r="B210" s="221" t="s">
        <v>1374</v>
      </c>
      <c r="C210" s="221" t="s">
        <v>1383</v>
      </c>
      <c r="D210" s="221" t="s">
        <v>1376</v>
      </c>
      <c r="E210" s="222">
        <v>41.5</v>
      </c>
      <c r="F210" s="223">
        <v>1.65</v>
      </c>
      <c r="G210" s="220" t="s">
        <v>1369</v>
      </c>
      <c r="H210" s="221" t="s">
        <v>1370</v>
      </c>
    </row>
    <row customHeight="true" ht="16.071428571428573" r="211">
      <c r="A211" s="220">
        <v>175</v>
      </c>
      <c r="B211" s="221" t="s">
        <v>1374</v>
      </c>
      <c r="C211" s="221" t="s">
        <v>1388</v>
      </c>
      <c r="D211" s="221" t="s">
        <v>1376</v>
      </c>
      <c r="E211" s="222">
        <v>37.6</v>
      </c>
      <c r="F211" s="223">
        <v>0.51</v>
      </c>
      <c r="G211" s="220" t="s">
        <v>1369</v>
      </c>
      <c r="H211" s="221" t="s">
        <v>1370</v>
      </c>
    </row>
    <row customHeight="true" ht="16.071428571428573" r="212">
      <c r="A212" s="220">
        <v>176</v>
      </c>
      <c r="B212" s="221" t="s">
        <v>1353</v>
      </c>
      <c r="C212" s="221" t="s">
        <v>1385</v>
      </c>
      <c r="D212" s="221" t="s">
        <v>1368</v>
      </c>
      <c r="E212" s="222">
        <v>44.9</v>
      </c>
      <c r="F212" s="223">
        <v>0.87</v>
      </c>
      <c r="G212" s="220" t="s">
        <v>1369</v>
      </c>
      <c r="H212" s="221" t="s">
        <v>1370</v>
      </c>
    </row>
    <row customHeight="true" ht="16.071428571428573" r="213">
      <c r="A213" s="220">
        <v>177</v>
      </c>
      <c r="B213" s="221" t="s">
        <v>1353</v>
      </c>
      <c r="C213" s="221" t="s">
        <v>1386</v>
      </c>
      <c r="D213" s="221" t="s">
        <v>1368</v>
      </c>
      <c r="E213" s="222">
        <v>39.4</v>
      </c>
      <c r="F213" s="223">
        <v>1.85</v>
      </c>
      <c r="G213" s="220" t="s">
        <v>1369</v>
      </c>
      <c r="H213" s="221" t="s">
        <v>1370</v>
      </c>
    </row>
    <row customHeight="true" ht="16.071428571428573" r="214">
      <c r="A214" s="220">
        <v>178</v>
      </c>
      <c r="B214" s="221" t="s">
        <v>1374</v>
      </c>
      <c r="C214" s="221" t="s">
        <v>1385</v>
      </c>
      <c r="D214" s="221" t="s">
        <v>1376</v>
      </c>
      <c r="E214" s="222">
        <v>39.7</v>
      </c>
      <c r="F214" s="223">
        <v>1.31</v>
      </c>
      <c r="G214" s="220" t="s">
        <v>1369</v>
      </c>
      <c r="H214" s="221" t="s">
        <v>1370</v>
      </c>
    </row>
    <row customHeight="true" ht="16.071428571428573" r="215">
      <c r="A215" s="220">
        <v>179</v>
      </c>
      <c r="B215" s="221" t="s">
        <v>1353</v>
      </c>
      <c r="C215" s="221" t="s">
        <v>1377</v>
      </c>
      <c r="D215" s="221" t="s">
        <v>1368</v>
      </c>
      <c r="E215" s="222">
        <v>36.3</v>
      </c>
      <c r="F215" s="223">
        <v>1.59</v>
      </c>
      <c r="G215" s="220" t="s">
        <v>1369</v>
      </c>
      <c r="H215" s="221" t="s">
        <v>1370</v>
      </c>
    </row>
    <row customHeight="true" ht="16.071428571428573" r="216">
      <c r="A216" s="220">
        <v>180</v>
      </c>
      <c r="B216" s="221" t="s">
        <v>1353</v>
      </c>
      <c r="C216" s="221" t="s">
        <v>1388</v>
      </c>
      <c r="D216" s="221" t="s">
        <v>1368</v>
      </c>
      <c r="E216" s="222">
        <v>43.6</v>
      </c>
      <c r="F216" s="223">
        <v>1.57</v>
      </c>
      <c r="G216" s="220" t="s">
        <v>1369</v>
      </c>
      <c r="H216" s="221" t="s">
        <v>1370</v>
      </c>
    </row>
    <row customHeight="true" ht="16.071428571428573" r="217">
      <c r="A217" s="220">
        <v>181</v>
      </c>
      <c r="B217" s="221" t="s">
        <v>1353</v>
      </c>
      <c r="C217" s="221" t="s">
        <v>1375</v>
      </c>
      <c r="D217" s="221" t="s">
        <v>1368</v>
      </c>
      <c r="E217" s="222">
        <v>41.4</v>
      </c>
      <c r="F217" s="223">
        <v>1.42</v>
      </c>
      <c r="G217" s="220" t="s">
        <v>1369</v>
      </c>
      <c r="H217" s="221" t="s">
        <v>1370</v>
      </c>
    </row>
    <row customHeight="true" ht="16.071428571428573" r="218">
      <c r="A218" s="220">
        <v>182</v>
      </c>
      <c r="B218" s="221" t="s">
        <v>1351</v>
      </c>
      <c r="C218" s="221" t="s">
        <v>1367</v>
      </c>
      <c r="D218" s="221" t="s">
        <v>1378</v>
      </c>
      <c r="E218" s="222">
        <v>45</v>
      </c>
      <c r="F218" s="223">
        <v>1.82</v>
      </c>
      <c r="G218" s="220" t="s">
        <v>1369</v>
      </c>
      <c r="H218" s="221" t="s">
        <v>1370</v>
      </c>
    </row>
    <row customHeight="true" ht="16.071428571428573" r="219">
      <c r="A219" s="220">
        <v>183</v>
      </c>
      <c r="B219" s="221" t="s">
        <v>1351</v>
      </c>
      <c r="C219" s="221" t="s">
        <v>1367</v>
      </c>
      <c r="D219" s="221" t="s">
        <v>1378</v>
      </c>
      <c r="E219" s="222">
        <v>41.7</v>
      </c>
      <c r="F219" s="223">
        <v>1.29</v>
      </c>
      <c r="G219" s="220" t="s">
        <v>1369</v>
      </c>
      <c r="H219" s="221" t="s">
        <v>1370</v>
      </c>
    </row>
    <row customHeight="true" ht="16.071428571428573" r="220">
      <c r="A220" s="220">
        <v>184</v>
      </c>
      <c r="B220" s="221" t="s">
        <v>1371</v>
      </c>
      <c r="C220" s="221" t="s">
        <v>1372</v>
      </c>
      <c r="D220" s="221" t="s">
        <v>1373</v>
      </c>
      <c r="E220" s="222">
        <v>37.7</v>
      </c>
      <c r="F220" s="223">
        <v>1.17</v>
      </c>
      <c r="G220" s="220" t="s">
        <v>1369</v>
      </c>
      <c r="H220" s="221" t="s">
        <v>1370</v>
      </c>
    </row>
    <row customHeight="true" ht="16.071428571428573" r="221">
      <c r="A221" s="220">
        <v>185</v>
      </c>
      <c r="B221" s="221" t="s">
        <v>1353</v>
      </c>
      <c r="C221" s="221" t="s">
        <v>1367</v>
      </c>
      <c r="D221" s="221" t="s">
        <v>1368</v>
      </c>
      <c r="E221" s="222">
        <v>38.3</v>
      </c>
      <c r="F221" s="223">
        <v>1.42</v>
      </c>
      <c r="G221" s="220" t="s">
        <v>1369</v>
      </c>
      <c r="H221" s="221" t="s">
        <v>1370</v>
      </c>
    </row>
    <row customHeight="true" ht="16.071428571428573" r="222">
      <c r="A222" s="220">
        <v>186</v>
      </c>
      <c r="B222" s="221" t="s">
        <v>1353</v>
      </c>
      <c r="C222" s="221" t="s">
        <v>1389</v>
      </c>
      <c r="D222" s="221" t="s">
        <v>1368</v>
      </c>
      <c r="E222" s="222">
        <v>43.9</v>
      </c>
      <c r="F222" s="223">
        <v>2.08</v>
      </c>
      <c r="G222" s="220" t="s">
        <v>1369</v>
      </c>
      <c r="H222" s="221" t="s">
        <v>1370</v>
      </c>
    </row>
    <row customHeight="true" ht="16.071428571428573" r="223">
      <c r="A223" s="220">
        <v>187</v>
      </c>
      <c r="B223" s="221" t="s">
        <v>1351</v>
      </c>
      <c r="C223" s="221" t="s">
        <v>1384</v>
      </c>
      <c r="D223" s="221" t="s">
        <v>1378</v>
      </c>
      <c r="E223" s="222">
        <v>43.7</v>
      </c>
      <c r="F223" s="223">
        <v>0.65</v>
      </c>
      <c r="G223" s="220" t="s">
        <v>1369</v>
      </c>
      <c r="H223" s="221" t="s">
        <v>1370</v>
      </c>
    </row>
    <row customHeight="true" ht="16.071428571428573" r="224">
      <c r="A224" s="220">
        <v>188</v>
      </c>
      <c r="B224" s="221" t="s">
        <v>1351</v>
      </c>
      <c r="C224" s="221" t="s">
        <v>1367</v>
      </c>
      <c r="D224" s="221" t="s">
        <v>1378</v>
      </c>
      <c r="E224" s="222">
        <v>43.5</v>
      </c>
      <c r="F224" s="223">
        <v>1.75</v>
      </c>
      <c r="G224" s="220" t="s">
        <v>1369</v>
      </c>
      <c r="H224" s="221" t="s">
        <v>1370</v>
      </c>
    </row>
    <row customHeight="true" ht="16.071428571428573" r="225">
      <c r="A225" s="220">
        <v>189</v>
      </c>
      <c r="B225" s="221" t="s">
        <v>1353</v>
      </c>
      <c r="C225" s="221" t="s">
        <v>1377</v>
      </c>
      <c r="D225" s="221" t="s">
        <v>1368</v>
      </c>
      <c r="E225" s="222">
        <v>36.4</v>
      </c>
      <c r="F225" s="223">
        <v>1.87</v>
      </c>
      <c r="G225" s="220" t="s">
        <v>1369</v>
      </c>
      <c r="H225" s="221" t="s">
        <v>1370</v>
      </c>
    </row>
    <row customHeight="true" ht="16.071428571428573" r="226">
      <c r="A226" s="220">
        <v>190</v>
      </c>
      <c r="B226" s="221" t="s">
        <v>1351</v>
      </c>
      <c r="C226" s="221" t="s">
        <v>1384</v>
      </c>
      <c r="D226" s="221" t="s">
        <v>1378</v>
      </c>
      <c r="E226" s="222">
        <v>41.7</v>
      </c>
      <c r="F226" s="223">
        <v>1.72</v>
      </c>
      <c r="G226" s="220" t="s">
        <v>1369</v>
      </c>
      <c r="H226" s="221" t="s">
        <v>1370</v>
      </c>
    </row>
    <row customHeight="true" ht="16.071428571428573" r="227">
      <c r="A227" s="220">
        <v>191</v>
      </c>
      <c r="B227" s="221" t="s">
        <v>1374</v>
      </c>
      <c r="C227" s="221" t="s">
        <v>1377</v>
      </c>
      <c r="D227" s="221" t="s">
        <v>1376</v>
      </c>
      <c r="E227" s="222">
        <v>50.2</v>
      </c>
      <c r="F227" s="223">
        <v>3.75</v>
      </c>
      <c r="G227" s="220" t="s">
        <v>1381</v>
      </c>
      <c r="H227" s="221" t="s">
        <v>1390</v>
      </c>
    </row>
    <row customHeight="true" ht="16.071428571428573" r="228">
      <c r="A228" s="220">
        <v>192</v>
      </c>
      <c r="B228" s="221" t="s">
        <v>1374</v>
      </c>
      <c r="C228" s="221" t="s">
        <v>1384</v>
      </c>
      <c r="D228" s="221" t="s">
        <v>1376</v>
      </c>
      <c r="E228" s="222">
        <v>41.6</v>
      </c>
      <c r="F228" s="223">
        <v>1.65</v>
      </c>
      <c r="G228" s="220" t="s">
        <v>1369</v>
      </c>
      <c r="H228" s="221" t="s">
        <v>1370</v>
      </c>
    </row>
    <row customHeight="true" ht="16.071428571428573" r="229">
      <c r="A229" s="220">
        <v>193</v>
      </c>
      <c r="B229" s="221" t="s">
        <v>1353</v>
      </c>
      <c r="C229" s="221" t="s">
        <v>1367</v>
      </c>
      <c r="D229" s="221" t="s">
        <v>1368</v>
      </c>
      <c r="E229" s="222">
        <v>36.5</v>
      </c>
      <c r="F229" s="223">
        <v>2.1</v>
      </c>
      <c r="G229" s="220" t="s">
        <v>1369</v>
      </c>
      <c r="H229" s="221" t="s">
        <v>1370</v>
      </c>
    </row>
    <row customHeight="true" ht="16.071428571428573" r="230">
      <c r="A230" s="220">
        <v>194</v>
      </c>
      <c r="B230" s="221" t="s">
        <v>1374</v>
      </c>
      <c r="C230" s="221" t="s">
        <v>1388</v>
      </c>
      <c r="D230" s="221" t="s">
        <v>1376</v>
      </c>
      <c r="E230" s="222">
        <v>37.2</v>
      </c>
      <c r="F230" s="223">
        <v>1.04</v>
      </c>
      <c r="G230" s="220" t="s">
        <v>1369</v>
      </c>
      <c r="H230" s="221" t="s">
        <v>1370</v>
      </c>
    </row>
    <row customHeight="true" ht="16.071428571428573" r="231">
      <c r="A231" s="220">
        <v>195</v>
      </c>
      <c r="B231" s="221" t="s">
        <v>1374</v>
      </c>
      <c r="C231" s="221" t="s">
        <v>1383</v>
      </c>
      <c r="D231" s="221" t="s">
        <v>1376</v>
      </c>
      <c r="E231" s="222">
        <v>43.1</v>
      </c>
      <c r="F231" s="223">
        <v>0.75</v>
      </c>
      <c r="G231" s="220" t="s">
        <v>1369</v>
      </c>
      <c r="H231" s="221" t="s">
        <v>1370</v>
      </c>
    </row>
    <row customHeight="true" ht="16.071428571428573" r="232">
      <c r="A232" s="220">
        <v>196</v>
      </c>
      <c r="B232" s="221" t="s">
        <v>1351</v>
      </c>
      <c r="C232" s="221" t="s">
        <v>1380</v>
      </c>
      <c r="D232" s="221" t="s">
        <v>1378</v>
      </c>
      <c r="E232" s="222">
        <v>42.1</v>
      </c>
      <c r="F232" s="223">
        <v>0.61</v>
      </c>
      <c r="G232" s="220" t="s">
        <v>1369</v>
      </c>
      <c r="H232" s="221" t="s">
        <v>1370</v>
      </c>
    </row>
    <row customHeight="true" ht="16.071428571428573" r="233">
      <c r="A233" s="220">
        <v>197</v>
      </c>
      <c r="B233" s="221" t="s">
        <v>1374</v>
      </c>
      <c r="C233" s="221" t="s">
        <v>1389</v>
      </c>
      <c r="D233" s="221" t="s">
        <v>1376</v>
      </c>
      <c r="E233" s="222">
        <v>39.6</v>
      </c>
      <c r="F233" s="223">
        <v>1.24</v>
      </c>
      <c r="G233" s="220" t="s">
        <v>1369</v>
      </c>
      <c r="H233" s="221" t="s">
        <v>1370</v>
      </c>
    </row>
    <row customHeight="true" ht="16.071428571428573" r="234">
      <c r="A234" s="220">
        <v>198</v>
      </c>
      <c r="B234" s="221" t="s">
        <v>1371</v>
      </c>
      <c r="C234" s="221" t="s">
        <v>1383</v>
      </c>
      <c r="D234" s="221" t="s">
        <v>1373</v>
      </c>
      <c r="E234" s="222">
        <v>44.8</v>
      </c>
      <c r="F234" s="223">
        <v>1.28</v>
      </c>
      <c r="G234" s="220" t="s">
        <v>1369</v>
      </c>
      <c r="H234" s="221" t="s">
        <v>1370</v>
      </c>
    </row>
    <row customHeight="true" ht="16.071428571428573" r="235">
      <c r="A235" s="220">
        <v>199</v>
      </c>
      <c r="B235" s="221" t="s">
        <v>1353</v>
      </c>
      <c r="C235" s="221" t="s">
        <v>1388</v>
      </c>
      <c r="D235" s="221" t="s">
        <v>1368</v>
      </c>
      <c r="E235" s="222">
        <v>45.5</v>
      </c>
      <c r="F235" s="223">
        <v>0.62</v>
      </c>
      <c r="G235" s="220" t="s">
        <v>1369</v>
      </c>
      <c r="H235" s="221" t="s">
        <v>1370</v>
      </c>
    </row>
    <row customHeight="true" ht="16.071428571428573" r="236">
      <c r="A236" s="220">
        <v>200</v>
      </c>
      <c r="B236" s="221" t="s">
        <v>1371</v>
      </c>
      <c r="C236" s="221" t="s">
        <v>1380</v>
      </c>
      <c r="D236" s="221" t="s">
        <v>1373</v>
      </c>
      <c r="E236" s="222">
        <v>42.8</v>
      </c>
      <c r="F236" s="223">
        <v>1.26</v>
      </c>
      <c r="G236" s="220" t="s">
        <v>1369</v>
      </c>
      <c r="H236" s="221" t="s">
        <v>1370</v>
      </c>
    </row>
    <row customHeight="true" ht="16.071428571428573" r="237">
      <c r="A237" s="220">
        <v>201</v>
      </c>
      <c r="B237" s="221" t="s">
        <v>1351</v>
      </c>
      <c r="C237" s="221" t="s">
        <v>1384</v>
      </c>
      <c r="D237" s="221" t="s">
        <v>1378</v>
      </c>
      <c r="E237" s="222">
        <v>36.9</v>
      </c>
      <c r="F237" s="223">
        <v>1.55</v>
      </c>
      <c r="G237" s="220" t="s">
        <v>1369</v>
      </c>
      <c r="H237" s="221" t="s">
        <v>1370</v>
      </c>
    </row>
    <row customHeight="true" ht="16.071428571428573" r="238">
      <c r="A238" s="220">
        <v>202</v>
      </c>
      <c r="B238" s="221" t="s">
        <v>1351</v>
      </c>
      <c r="C238" s="221" t="s">
        <v>1383</v>
      </c>
      <c r="D238" s="221" t="s">
        <v>1378</v>
      </c>
      <c r="E238" s="222">
        <v>40.9</v>
      </c>
      <c r="F238" s="223">
        <v>1.59</v>
      </c>
      <c r="G238" s="220" t="s">
        <v>1369</v>
      </c>
      <c r="H238" s="221" t="s">
        <v>1370</v>
      </c>
    </row>
    <row customHeight="true" ht="16.071428571428573" r="239">
      <c r="A239" s="220">
        <v>203</v>
      </c>
      <c r="B239" s="221" t="s">
        <v>1351</v>
      </c>
      <c r="C239" s="221" t="s">
        <v>1377</v>
      </c>
      <c r="D239" s="221" t="s">
        <v>1378</v>
      </c>
      <c r="E239" s="222">
        <v>39.7</v>
      </c>
      <c r="F239" s="223">
        <v>1.54</v>
      </c>
      <c r="G239" s="220" t="s">
        <v>1369</v>
      </c>
      <c r="H239" s="221" t="s">
        <v>1370</v>
      </c>
    </row>
    <row customHeight="true" ht="16.071428571428573" r="240">
      <c r="A240" s="220">
        <v>204</v>
      </c>
      <c r="B240" s="221" t="s">
        <v>1374</v>
      </c>
      <c r="C240" s="221" t="s">
        <v>1372</v>
      </c>
      <c r="D240" s="221" t="s">
        <v>1376</v>
      </c>
      <c r="E240" s="222">
        <v>44</v>
      </c>
      <c r="F240" s="223">
        <v>1.4</v>
      </c>
      <c r="G240" s="220" t="s">
        <v>1369</v>
      </c>
      <c r="H240" s="221" t="s">
        <v>1370</v>
      </c>
    </row>
    <row customHeight="true" ht="16.071428571428573" r="241">
      <c r="A241" s="220">
        <v>205</v>
      </c>
      <c r="B241" s="221" t="s">
        <v>1353</v>
      </c>
      <c r="C241" s="221" t="s">
        <v>1385</v>
      </c>
      <c r="D241" s="221" t="s">
        <v>1368</v>
      </c>
      <c r="E241" s="222">
        <v>43.3</v>
      </c>
      <c r="F241" s="223">
        <v>1.69</v>
      </c>
      <c r="G241" s="220" t="s">
        <v>1369</v>
      </c>
      <c r="H241" s="221" t="s">
        <v>1370</v>
      </c>
    </row>
    <row customHeight="true" ht="16.071428571428573" r="242">
      <c r="A242" s="220">
        <v>206</v>
      </c>
      <c r="B242" s="221" t="s">
        <v>1374</v>
      </c>
      <c r="C242" s="221" t="s">
        <v>1367</v>
      </c>
      <c r="D242" s="221" t="s">
        <v>1376</v>
      </c>
      <c r="E242" s="222">
        <v>41.1</v>
      </c>
      <c r="F242" s="223">
        <v>1.37</v>
      </c>
      <c r="G242" s="220" t="s">
        <v>1369</v>
      </c>
      <c r="H242" s="221" t="s">
        <v>1370</v>
      </c>
    </row>
    <row customHeight="true" ht="16.071428571428573" r="243">
      <c r="A243" s="220">
        <v>207</v>
      </c>
      <c r="B243" s="221" t="s">
        <v>1374</v>
      </c>
      <c r="C243" s="221" t="s">
        <v>1384</v>
      </c>
      <c r="D243" s="221" t="s">
        <v>1376</v>
      </c>
      <c r="E243" s="222">
        <v>37.7</v>
      </c>
      <c r="F243" s="223">
        <v>1.08</v>
      </c>
      <c r="G243" s="220" t="s">
        <v>1369</v>
      </c>
      <c r="H243" s="221" t="s">
        <v>1370</v>
      </c>
    </row>
    <row customHeight="true" ht="16.071428571428573" r="244">
      <c r="A244" s="220">
        <v>208</v>
      </c>
      <c r="B244" s="221" t="s">
        <v>1351</v>
      </c>
      <c r="C244" s="221" t="s">
        <v>1385</v>
      </c>
      <c r="D244" s="221" t="s">
        <v>1378</v>
      </c>
      <c r="E244" s="222">
        <v>39.1</v>
      </c>
      <c r="F244" s="223">
        <v>0.51</v>
      </c>
      <c r="G244" s="220" t="s">
        <v>1369</v>
      </c>
      <c r="H244" s="221" t="s">
        <v>1370</v>
      </c>
    </row>
    <row customHeight="true" ht="16.071428571428573" r="245">
      <c r="A245" s="220">
        <v>209</v>
      </c>
      <c r="B245" s="221" t="s">
        <v>1353</v>
      </c>
      <c r="C245" s="221" t="s">
        <v>1379</v>
      </c>
      <c r="D245" s="221" t="s">
        <v>1368</v>
      </c>
      <c r="E245" s="222">
        <v>36.8</v>
      </c>
      <c r="F245" s="223">
        <v>1.82</v>
      </c>
      <c r="G245" s="220" t="s">
        <v>1369</v>
      </c>
      <c r="H245" s="221" t="s">
        <v>1370</v>
      </c>
    </row>
    <row customHeight="true" ht="16.071428571428573" r="246">
      <c r="A246" s="220">
        <v>210</v>
      </c>
      <c r="B246" s="221" t="s">
        <v>1371</v>
      </c>
      <c r="C246" s="221" t="s">
        <v>1384</v>
      </c>
      <c r="D246" s="221" t="s">
        <v>1373</v>
      </c>
      <c r="E246" s="222">
        <v>40.2</v>
      </c>
      <c r="F246" s="223">
        <v>1.89</v>
      </c>
      <c r="G246" s="220" t="s">
        <v>1369</v>
      </c>
      <c r="H246" s="221" t="s">
        <v>1370</v>
      </c>
    </row>
    <row customHeight="true" ht="16.071428571428573" r="247">
      <c r="A247" s="220">
        <v>211</v>
      </c>
      <c r="B247" s="221" t="s">
        <v>1353</v>
      </c>
      <c r="C247" s="221" t="s">
        <v>1372</v>
      </c>
      <c r="D247" s="221" t="s">
        <v>1368</v>
      </c>
      <c r="E247" s="222">
        <v>41.6</v>
      </c>
      <c r="F247" s="223">
        <v>1.52</v>
      </c>
      <c r="G247" s="220" t="s">
        <v>1369</v>
      </c>
      <c r="H247" s="221" t="s">
        <v>1370</v>
      </c>
    </row>
    <row customHeight="true" ht="16.071428571428573" r="248">
      <c r="A248" s="220">
        <v>212</v>
      </c>
      <c r="B248" s="221" t="s">
        <v>1351</v>
      </c>
      <c r="C248" s="221" t="s">
        <v>1367</v>
      </c>
      <c r="D248" s="221" t="s">
        <v>1378</v>
      </c>
      <c r="E248" s="222">
        <v>43</v>
      </c>
      <c r="F248" s="223">
        <v>1.3</v>
      </c>
      <c r="G248" s="220" t="s">
        <v>1369</v>
      </c>
      <c r="H248" s="221" t="s">
        <v>1370</v>
      </c>
    </row>
    <row customHeight="true" ht="16.071428571428573" r="249">
      <c r="A249" s="220">
        <v>213</v>
      </c>
      <c r="B249" s="221" t="s">
        <v>1374</v>
      </c>
      <c r="C249" s="221" t="s">
        <v>1386</v>
      </c>
      <c r="D249" s="221" t="s">
        <v>1376</v>
      </c>
      <c r="E249" s="222">
        <v>42.9</v>
      </c>
      <c r="F249" s="223">
        <v>0.6</v>
      </c>
      <c r="G249" s="220" t="s">
        <v>1369</v>
      </c>
      <c r="H249" s="221" t="s">
        <v>1370</v>
      </c>
    </row>
    <row customHeight="true" ht="16.071428571428573" r="250">
      <c r="A250" s="220">
        <v>214</v>
      </c>
      <c r="B250" s="221" t="s">
        <v>1374</v>
      </c>
      <c r="C250" s="221" t="s">
        <v>1379</v>
      </c>
      <c r="D250" s="221" t="s">
        <v>1376</v>
      </c>
      <c r="E250" s="222">
        <v>45.4</v>
      </c>
      <c r="F250" s="223">
        <v>1.16</v>
      </c>
      <c r="G250" s="220" t="s">
        <v>1369</v>
      </c>
      <c r="H250" s="221" t="s">
        <v>1370</v>
      </c>
    </row>
    <row customHeight="true" ht="16.071428571428573" r="251">
      <c r="A251" s="220">
        <v>215</v>
      </c>
      <c r="B251" s="221" t="s">
        <v>1374</v>
      </c>
      <c r="C251" s="221" t="s">
        <v>1383</v>
      </c>
      <c r="D251" s="221" t="s">
        <v>1376</v>
      </c>
      <c r="E251" s="222">
        <v>44.1</v>
      </c>
      <c r="F251" s="223">
        <v>1.93</v>
      </c>
      <c r="G251" s="220" t="s">
        <v>1369</v>
      </c>
      <c r="H251" s="221" t="s">
        <v>1370</v>
      </c>
    </row>
    <row customHeight="true" ht="16.071428571428573" r="252">
      <c r="A252" s="220">
        <v>216</v>
      </c>
      <c r="B252" s="221" t="s">
        <v>1374</v>
      </c>
      <c r="C252" s="221" t="s">
        <v>1389</v>
      </c>
      <c r="D252" s="221" t="s">
        <v>1376</v>
      </c>
      <c r="E252" s="222">
        <v>44.6</v>
      </c>
      <c r="F252" s="223">
        <v>0.53</v>
      </c>
      <c r="G252" s="220" t="s">
        <v>1369</v>
      </c>
      <c r="H252" s="221" t="s">
        <v>1370</v>
      </c>
    </row>
    <row customHeight="true" ht="16.071428571428573" r="253">
      <c r="A253" s="220">
        <v>217</v>
      </c>
      <c r="B253" s="221" t="s">
        <v>1374</v>
      </c>
      <c r="C253" s="221" t="s">
        <v>1367</v>
      </c>
      <c r="D253" s="221" t="s">
        <v>1376</v>
      </c>
      <c r="E253" s="222">
        <v>39.1</v>
      </c>
      <c r="F253" s="223">
        <v>0.69</v>
      </c>
      <c r="G253" s="220" t="s">
        <v>1369</v>
      </c>
      <c r="H253" s="221" t="s">
        <v>1370</v>
      </c>
    </row>
    <row customHeight="true" ht="16.071428571428573" r="254">
      <c r="A254" s="220">
        <v>218</v>
      </c>
      <c r="B254" s="221" t="s">
        <v>1374</v>
      </c>
      <c r="C254" s="221" t="s">
        <v>1372</v>
      </c>
      <c r="D254" s="221" t="s">
        <v>1376</v>
      </c>
      <c r="E254" s="222">
        <v>45.3</v>
      </c>
      <c r="F254" s="223">
        <v>0.81</v>
      </c>
      <c r="G254" s="220" t="s">
        <v>1369</v>
      </c>
      <c r="H254" s="221" t="s">
        <v>1370</v>
      </c>
    </row>
    <row customHeight="true" ht="16.071428571428573" r="255">
      <c r="A255" s="220">
        <v>219</v>
      </c>
      <c r="B255" s="221" t="s">
        <v>1351</v>
      </c>
      <c r="C255" s="221" t="s">
        <v>1380</v>
      </c>
      <c r="D255" s="221" t="s">
        <v>1378</v>
      </c>
      <c r="E255" s="222">
        <v>43.4</v>
      </c>
      <c r="F255" s="223">
        <v>1.34</v>
      </c>
      <c r="G255" s="220" t="s">
        <v>1369</v>
      </c>
      <c r="H255" s="221" t="s">
        <v>1370</v>
      </c>
    </row>
    <row customHeight="true" ht="16.071428571428573" r="256">
      <c r="A256" s="220">
        <v>220</v>
      </c>
      <c r="B256" s="221" t="s">
        <v>1353</v>
      </c>
      <c r="C256" s="221" t="s">
        <v>1384</v>
      </c>
      <c r="D256" s="221" t="s">
        <v>1368</v>
      </c>
      <c r="E256" s="222">
        <v>45.4</v>
      </c>
      <c r="F256" s="223">
        <v>1.86</v>
      </c>
      <c r="G256" s="220" t="s">
        <v>1369</v>
      </c>
      <c r="H256" s="221" t="s">
        <v>1370</v>
      </c>
    </row>
    <row customHeight="true" ht="16.071428571428573" r="257">
      <c r="A257" s="220">
        <v>221</v>
      </c>
      <c r="B257" s="221" t="s">
        <v>1351</v>
      </c>
      <c r="C257" s="221" t="s">
        <v>1372</v>
      </c>
      <c r="D257" s="221" t="s">
        <v>1378</v>
      </c>
      <c r="E257" s="222">
        <v>45.4</v>
      </c>
      <c r="F257" s="223">
        <v>1.63</v>
      </c>
      <c r="G257" s="220" t="s">
        <v>1369</v>
      </c>
      <c r="H257" s="221" t="s">
        <v>1370</v>
      </c>
    </row>
    <row customHeight="true" ht="16.071428571428573" r="258">
      <c r="A258" s="220">
        <v>222</v>
      </c>
      <c r="B258" s="221" t="s">
        <v>1351</v>
      </c>
      <c r="C258" s="221" t="s">
        <v>1388</v>
      </c>
      <c r="D258" s="221" t="s">
        <v>1378</v>
      </c>
      <c r="E258" s="222">
        <v>38.1</v>
      </c>
      <c r="F258" s="223">
        <v>0.82</v>
      </c>
      <c r="G258" s="220" t="s">
        <v>1369</v>
      </c>
      <c r="H258" s="221" t="s">
        <v>1370</v>
      </c>
    </row>
    <row customHeight="true" ht="16.071428571428573" r="259">
      <c r="A259" s="220">
        <v>223</v>
      </c>
      <c r="B259" s="221" t="s">
        <v>1353</v>
      </c>
      <c r="C259" s="221" t="s">
        <v>1375</v>
      </c>
      <c r="D259" s="221" t="s">
        <v>1368</v>
      </c>
      <c r="E259" s="222">
        <v>40.6</v>
      </c>
      <c r="F259" s="223">
        <v>1.31</v>
      </c>
      <c r="G259" s="220" t="s">
        <v>1369</v>
      </c>
      <c r="H259" s="221" t="s">
        <v>1370</v>
      </c>
    </row>
    <row customHeight="true" ht="16.071428571428573" r="260">
      <c r="A260" s="220">
        <v>224</v>
      </c>
      <c r="B260" s="221" t="s">
        <v>1374</v>
      </c>
      <c r="C260" s="221" t="s">
        <v>1385</v>
      </c>
      <c r="D260" s="221" t="s">
        <v>1376</v>
      </c>
      <c r="E260" s="222">
        <v>39.7</v>
      </c>
      <c r="F260" s="223">
        <v>1.31</v>
      </c>
      <c r="G260" s="220" t="s">
        <v>1369</v>
      </c>
      <c r="H260" s="221" t="s">
        <v>1370</v>
      </c>
    </row>
    <row customHeight="true" ht="16.071428571428573" r="261">
      <c r="A261" s="220">
        <v>225</v>
      </c>
      <c r="B261" s="221" t="s">
        <v>1374</v>
      </c>
      <c r="C261" s="221" t="s">
        <v>1385</v>
      </c>
      <c r="D261" s="221" t="s">
        <v>1376</v>
      </c>
      <c r="E261" s="222">
        <v>37.6</v>
      </c>
      <c r="F261" s="223">
        <v>0.59</v>
      </c>
      <c r="G261" s="220" t="s">
        <v>1369</v>
      </c>
      <c r="H261" s="221" t="s">
        <v>1370</v>
      </c>
    </row>
    <row customHeight="true" ht="16.071428571428573" r="262">
      <c r="A262" s="220">
        <v>226</v>
      </c>
      <c r="B262" s="221" t="s">
        <v>1374</v>
      </c>
      <c r="C262" s="221" t="s">
        <v>1379</v>
      </c>
      <c r="D262" s="221" t="s">
        <v>1376</v>
      </c>
      <c r="E262" s="222">
        <v>39.9</v>
      </c>
      <c r="F262" s="223">
        <v>1.9</v>
      </c>
      <c r="G262" s="220" t="s">
        <v>1369</v>
      </c>
      <c r="H262" s="221" t="s">
        <v>1370</v>
      </c>
    </row>
    <row customHeight="true" ht="16.071428571428573" r="263">
      <c r="A263" s="220">
        <v>227</v>
      </c>
      <c r="B263" s="221" t="s">
        <v>1374</v>
      </c>
      <c r="C263" s="221" t="s">
        <v>1375</v>
      </c>
      <c r="D263" s="221" t="s">
        <v>1376</v>
      </c>
      <c r="E263" s="222">
        <v>42.3</v>
      </c>
      <c r="F263" s="223">
        <v>0.55</v>
      </c>
      <c r="G263" s="220" t="s">
        <v>1369</v>
      </c>
      <c r="H263" s="221" t="s">
        <v>1370</v>
      </c>
    </row>
    <row customHeight="true" ht="16.071428571428573" r="264">
      <c r="A264" s="220">
        <v>228</v>
      </c>
      <c r="B264" s="221" t="s">
        <v>1374</v>
      </c>
      <c r="C264" s="221" t="s">
        <v>1372</v>
      </c>
      <c r="D264" s="221" t="s">
        <v>1376</v>
      </c>
      <c r="E264" s="222">
        <v>45.4</v>
      </c>
      <c r="F264" s="223">
        <v>1.19</v>
      </c>
      <c r="G264" s="220" t="s">
        <v>1369</v>
      </c>
      <c r="H264" s="221" t="s">
        <v>1370</v>
      </c>
    </row>
    <row customHeight="true" ht="16.071428571428573" r="265">
      <c r="A265" s="220">
        <v>229</v>
      </c>
      <c r="B265" s="221" t="s">
        <v>1351</v>
      </c>
      <c r="C265" s="221" t="s">
        <v>1379</v>
      </c>
      <c r="D265" s="221" t="s">
        <v>1378</v>
      </c>
      <c r="E265" s="222">
        <v>43.8</v>
      </c>
      <c r="F265" s="223">
        <v>0.96</v>
      </c>
      <c r="G265" s="220" t="s">
        <v>1369</v>
      </c>
      <c r="H265" s="221" t="s">
        <v>1370</v>
      </c>
    </row>
    <row customHeight="true" ht="16.071428571428573" r="266">
      <c r="A266" s="220">
        <v>230</v>
      </c>
      <c r="B266" s="221" t="s">
        <v>1374</v>
      </c>
      <c r="C266" s="221" t="s">
        <v>1380</v>
      </c>
      <c r="D266" s="221" t="s">
        <v>1376</v>
      </c>
      <c r="E266" s="222">
        <v>45.2</v>
      </c>
      <c r="F266" s="223">
        <v>1.72</v>
      </c>
      <c r="G266" s="220" t="s">
        <v>1369</v>
      </c>
      <c r="H266" s="221" t="s">
        <v>1370</v>
      </c>
    </row>
    <row customHeight="true" ht="16.071428571428573" r="267">
      <c r="A267" s="220">
        <v>231</v>
      </c>
      <c r="B267" s="221" t="s">
        <v>1351</v>
      </c>
      <c r="C267" s="221" t="s">
        <v>1367</v>
      </c>
      <c r="D267" s="221" t="s">
        <v>1378</v>
      </c>
      <c r="E267" s="222">
        <v>39.3</v>
      </c>
      <c r="F267" s="223">
        <v>0.5</v>
      </c>
      <c r="G267" s="220" t="s">
        <v>1369</v>
      </c>
      <c r="H267" s="221" t="s">
        <v>1370</v>
      </c>
    </row>
    <row customHeight="true" ht="16.071428571428573" r="268">
      <c r="A268" s="220">
        <v>232</v>
      </c>
      <c r="B268" s="221" t="s">
        <v>1374</v>
      </c>
      <c r="C268" s="221" t="s">
        <v>1367</v>
      </c>
      <c r="D268" s="221" t="s">
        <v>1376</v>
      </c>
      <c r="E268" s="222">
        <v>45.4</v>
      </c>
      <c r="F268" s="223">
        <v>0.83</v>
      </c>
      <c r="G268" s="220" t="s">
        <v>1369</v>
      </c>
      <c r="H268" s="221" t="s">
        <v>1370</v>
      </c>
    </row>
    <row customHeight="true" ht="16.071428571428573" r="269">
      <c r="A269" s="220">
        <v>233</v>
      </c>
      <c r="B269" s="221" t="s">
        <v>1351</v>
      </c>
      <c r="C269" s="221" t="s">
        <v>1383</v>
      </c>
      <c r="D269" s="221" t="s">
        <v>1378</v>
      </c>
      <c r="E269" s="222">
        <v>37.1</v>
      </c>
      <c r="F269" s="223">
        <v>1.79</v>
      </c>
      <c r="G269" s="220" t="s">
        <v>1369</v>
      </c>
      <c r="H269" s="221" t="s">
        <v>1370</v>
      </c>
    </row>
    <row customHeight="true" ht="16.071428571428573" r="270">
      <c r="A270" s="220">
        <v>234</v>
      </c>
      <c r="B270" s="221" t="s">
        <v>1374</v>
      </c>
      <c r="C270" s="221" t="s">
        <v>1383</v>
      </c>
      <c r="D270" s="221" t="s">
        <v>1376</v>
      </c>
      <c r="E270" s="222">
        <v>36.7</v>
      </c>
      <c r="F270" s="223">
        <v>0.62</v>
      </c>
      <c r="G270" s="220" t="s">
        <v>1369</v>
      </c>
      <c r="H270" s="221" t="s">
        <v>1370</v>
      </c>
    </row>
    <row customHeight="true" ht="16.071428571428573" r="271">
      <c r="A271" s="220">
        <v>235</v>
      </c>
      <c r="B271" s="221" t="s">
        <v>1353</v>
      </c>
      <c r="C271" s="221" t="s">
        <v>1367</v>
      </c>
      <c r="D271" s="221" t="s">
        <v>1368</v>
      </c>
      <c r="E271" s="222">
        <v>37.9</v>
      </c>
      <c r="F271" s="223">
        <v>1.85</v>
      </c>
      <c r="G271" s="220" t="s">
        <v>1369</v>
      </c>
      <c r="H271" s="221" t="s">
        <v>1370</v>
      </c>
    </row>
    <row customHeight="true" ht="16.071428571428573" r="272">
      <c r="A272" s="220">
        <v>236</v>
      </c>
      <c r="B272" s="221" t="s">
        <v>1351</v>
      </c>
      <c r="C272" s="221" t="s">
        <v>1386</v>
      </c>
      <c r="D272" s="221" t="s">
        <v>1378</v>
      </c>
      <c r="E272" s="222">
        <v>45.7</v>
      </c>
      <c r="F272" s="223">
        <v>0.81</v>
      </c>
      <c r="G272" s="220" t="s">
        <v>1369</v>
      </c>
      <c r="H272" s="221" t="s">
        <v>1370</v>
      </c>
    </row>
    <row customHeight="true" ht="16.071428571428573" r="273">
      <c r="A273" s="220">
        <v>237</v>
      </c>
      <c r="B273" s="221" t="s">
        <v>1371</v>
      </c>
      <c r="C273" s="221" t="s">
        <v>1377</v>
      </c>
      <c r="D273" s="221" t="s">
        <v>1373</v>
      </c>
      <c r="E273" s="222">
        <v>39.5</v>
      </c>
      <c r="F273" s="223">
        <v>1.9</v>
      </c>
      <c r="G273" s="220" t="s">
        <v>1369</v>
      </c>
      <c r="H273" s="221" t="s">
        <v>1370</v>
      </c>
    </row>
    <row customHeight="true" ht="16.071428571428573" r="274">
      <c r="A274" s="220">
        <v>238</v>
      </c>
      <c r="B274" s="221" t="s">
        <v>1371</v>
      </c>
      <c r="C274" s="221" t="s">
        <v>1385</v>
      </c>
      <c r="D274" s="221" t="s">
        <v>1373</v>
      </c>
      <c r="E274" s="222">
        <v>45.2</v>
      </c>
      <c r="F274" s="223">
        <v>1.99</v>
      </c>
      <c r="G274" s="220" t="s">
        <v>1369</v>
      </c>
      <c r="H274" s="221" t="s">
        <v>1370</v>
      </c>
    </row>
    <row customHeight="true" ht="16.071428571428573" r="275">
      <c r="A275" s="220">
        <v>239</v>
      </c>
      <c r="B275" s="221" t="s">
        <v>1371</v>
      </c>
      <c r="C275" s="221" t="s">
        <v>1384</v>
      </c>
      <c r="D275" s="221" t="s">
        <v>1373</v>
      </c>
      <c r="E275" s="222">
        <v>45</v>
      </c>
      <c r="F275" s="223">
        <v>2.1</v>
      </c>
      <c r="G275" s="220" t="s">
        <v>1369</v>
      </c>
      <c r="H275" s="221" t="s">
        <v>1370</v>
      </c>
    </row>
    <row customHeight="true" ht="16.071428571428573" r="276">
      <c r="A276" s="220">
        <v>240</v>
      </c>
      <c r="B276" s="221" t="s">
        <v>1371</v>
      </c>
      <c r="C276" s="221" t="s">
        <v>1386</v>
      </c>
      <c r="D276" s="221" t="s">
        <v>1373</v>
      </c>
      <c r="E276" s="222">
        <v>37.5</v>
      </c>
      <c r="F276" s="223">
        <v>1.39</v>
      </c>
      <c r="G276" s="220" t="s">
        <v>1369</v>
      </c>
      <c r="H276" s="221" t="s">
        <v>1370</v>
      </c>
    </row>
    <row customHeight="true" ht="16.071428571428573" r="277">
      <c r="A277" s="220">
        <v>241</v>
      </c>
      <c r="B277" s="221" t="s">
        <v>1353</v>
      </c>
      <c r="C277" s="221" t="s">
        <v>1383</v>
      </c>
      <c r="D277" s="221" t="s">
        <v>1368</v>
      </c>
      <c r="E277" s="222">
        <v>45.4</v>
      </c>
      <c r="F277" s="223">
        <v>0.55</v>
      </c>
      <c r="G277" s="220" t="s">
        <v>1369</v>
      </c>
      <c r="H277" s="221" t="s">
        <v>1370</v>
      </c>
    </row>
    <row customHeight="true" ht="16.071428571428573" r="278">
      <c r="A278" s="220">
        <v>242</v>
      </c>
      <c r="B278" s="221" t="s">
        <v>1374</v>
      </c>
      <c r="C278" s="221" t="s">
        <v>1372</v>
      </c>
      <c r="D278" s="221" t="s">
        <v>1376</v>
      </c>
      <c r="E278" s="222">
        <v>42.3</v>
      </c>
      <c r="F278" s="223">
        <v>1.8</v>
      </c>
      <c r="G278" s="220" t="s">
        <v>1369</v>
      </c>
      <c r="H278" s="221" t="s">
        <v>1370</v>
      </c>
    </row>
    <row customHeight="true" ht="16.071428571428573" r="279">
      <c r="A279" s="220">
        <v>243</v>
      </c>
      <c r="B279" s="221" t="s">
        <v>1371</v>
      </c>
      <c r="C279" s="221" t="s">
        <v>1379</v>
      </c>
      <c r="D279" s="221" t="s">
        <v>1373</v>
      </c>
      <c r="E279" s="222">
        <v>43.5</v>
      </c>
      <c r="F279" s="223">
        <v>1.74</v>
      </c>
      <c r="G279" s="220" t="s">
        <v>1369</v>
      </c>
      <c r="H279" s="221" t="s">
        <v>1370</v>
      </c>
    </row>
    <row customHeight="true" ht="16.071428571428573" r="280">
      <c r="A280" s="220">
        <v>244</v>
      </c>
      <c r="B280" s="221" t="s">
        <v>1371</v>
      </c>
      <c r="C280" s="221" t="s">
        <v>1383</v>
      </c>
      <c r="D280" s="221" t="s">
        <v>1373</v>
      </c>
      <c r="E280" s="222">
        <v>44.8</v>
      </c>
      <c r="F280" s="223">
        <v>1.71</v>
      </c>
      <c r="G280" s="220" t="s">
        <v>1369</v>
      </c>
      <c r="H280" s="221" t="s">
        <v>1370</v>
      </c>
    </row>
    <row customHeight="true" ht="16.071428571428573" r="281">
      <c r="A281" s="220">
        <v>245</v>
      </c>
      <c r="B281" s="221" t="s">
        <v>1374</v>
      </c>
      <c r="C281" s="221" t="s">
        <v>1383</v>
      </c>
      <c r="D281" s="221" t="s">
        <v>1376</v>
      </c>
      <c r="E281" s="222">
        <v>40.9</v>
      </c>
      <c r="F281" s="223">
        <v>0.78</v>
      </c>
      <c r="G281" s="220" t="s">
        <v>1369</v>
      </c>
      <c r="H281" s="221" t="s">
        <v>1370</v>
      </c>
    </row>
    <row customHeight="true" ht="16.071428571428573" r="282">
      <c r="A282" s="220">
        <v>246</v>
      </c>
      <c r="B282" s="221" t="s">
        <v>1353</v>
      </c>
      <c r="C282" s="221" t="s">
        <v>1383</v>
      </c>
      <c r="D282" s="221" t="s">
        <v>1368</v>
      </c>
      <c r="E282" s="222">
        <v>38.1</v>
      </c>
      <c r="F282" s="223">
        <v>0.79</v>
      </c>
      <c r="G282" s="220" t="s">
        <v>1369</v>
      </c>
      <c r="H282" s="221" t="s">
        <v>1370</v>
      </c>
    </row>
    <row customHeight="true" ht="16.071428571428573" r="283">
      <c r="A283" s="220">
        <v>247</v>
      </c>
      <c r="B283" s="221" t="s">
        <v>1351</v>
      </c>
      <c r="C283" s="221" t="s">
        <v>1379</v>
      </c>
      <c r="D283" s="221" t="s">
        <v>1378</v>
      </c>
      <c r="E283" s="222">
        <v>45.4</v>
      </c>
      <c r="F283" s="223">
        <v>0.56</v>
      </c>
      <c r="G283" s="220" t="s">
        <v>1369</v>
      </c>
      <c r="H283" s="221" t="s">
        <v>1370</v>
      </c>
    </row>
    <row customHeight="true" ht="16.071428571428573" r="284">
      <c r="A284" s="220">
        <v>248</v>
      </c>
      <c r="B284" s="221" t="s">
        <v>1374</v>
      </c>
      <c r="C284" s="221" t="s">
        <v>1375</v>
      </c>
      <c r="D284" s="221" t="s">
        <v>1376</v>
      </c>
      <c r="E284" s="222">
        <v>42.7</v>
      </c>
      <c r="F284" s="223">
        <v>0.55</v>
      </c>
      <c r="G284" s="220" t="s">
        <v>1369</v>
      </c>
      <c r="H284" s="221" t="s">
        <v>1370</v>
      </c>
    </row>
    <row customHeight="true" ht="16.071428571428573" r="285">
      <c r="A285" s="220">
        <v>249</v>
      </c>
      <c r="B285" s="221" t="s">
        <v>1353</v>
      </c>
      <c r="C285" s="221" t="s">
        <v>1377</v>
      </c>
      <c r="D285" s="221" t="s">
        <v>1368</v>
      </c>
      <c r="E285" s="222">
        <v>41.8</v>
      </c>
      <c r="F285" s="223">
        <v>1.69</v>
      </c>
      <c r="G285" s="220" t="s">
        <v>1369</v>
      </c>
      <c r="H285" s="221" t="s">
        <v>1370</v>
      </c>
    </row>
    <row customHeight="true" ht="16.071428571428573" r="286">
      <c r="A286" s="220">
        <v>250</v>
      </c>
      <c r="B286" s="221" t="s">
        <v>1351</v>
      </c>
      <c r="C286" s="221" t="s">
        <v>1383</v>
      </c>
      <c r="D286" s="221" t="s">
        <v>1378</v>
      </c>
      <c r="E286" s="222">
        <v>44.3</v>
      </c>
      <c r="F286" s="223">
        <v>1.13</v>
      </c>
      <c r="G286" s="220" t="s">
        <v>1369</v>
      </c>
      <c r="H286" s="221" t="s">
        <v>1370</v>
      </c>
    </row>
    <row customHeight="true" ht="16.071428571428573" r="287">
      <c r="A287" s="220">
        <v>251</v>
      </c>
      <c r="B287" s="221" t="s">
        <v>1351</v>
      </c>
      <c r="C287" s="221" t="s">
        <v>1384</v>
      </c>
      <c r="D287" s="221" t="s">
        <v>1378</v>
      </c>
      <c r="E287" s="222">
        <v>52.3</v>
      </c>
      <c r="F287" s="223">
        <v>3.52</v>
      </c>
      <c r="G287" s="220" t="s">
        <v>1381</v>
      </c>
      <c r="H287" s="221" t="s">
        <v>1382</v>
      </c>
    </row>
    <row customHeight="true" ht="16.071428571428573" r="288">
      <c r="A288" s="220">
        <v>252</v>
      </c>
      <c r="B288" s="221" t="s">
        <v>1353</v>
      </c>
      <c r="C288" s="221" t="s">
        <v>1380</v>
      </c>
      <c r="D288" s="221" t="s">
        <v>1368</v>
      </c>
      <c r="E288" s="222">
        <v>38.3</v>
      </c>
      <c r="F288" s="223">
        <v>0.63</v>
      </c>
      <c r="G288" s="220" t="s">
        <v>1369</v>
      </c>
      <c r="H288" s="221" t="s">
        <v>1370</v>
      </c>
    </row>
    <row customHeight="true" ht="16.071428571428573" r="289">
      <c r="A289" s="220">
        <v>253</v>
      </c>
      <c r="B289" s="221" t="s">
        <v>1353</v>
      </c>
      <c r="C289" s="221" t="s">
        <v>1372</v>
      </c>
      <c r="D289" s="221" t="s">
        <v>1368</v>
      </c>
      <c r="E289" s="222">
        <v>39.6</v>
      </c>
      <c r="F289" s="223">
        <v>0.93</v>
      </c>
      <c r="G289" s="220" t="s">
        <v>1369</v>
      </c>
      <c r="H289" s="221" t="s">
        <v>1370</v>
      </c>
    </row>
    <row customHeight="true" ht="16.071428571428573" r="290">
      <c r="A290" s="220">
        <v>254</v>
      </c>
      <c r="B290" s="221" t="s">
        <v>1374</v>
      </c>
      <c r="C290" s="221" t="s">
        <v>1389</v>
      </c>
      <c r="D290" s="221" t="s">
        <v>1376</v>
      </c>
      <c r="E290" s="222">
        <v>36.7</v>
      </c>
      <c r="F290" s="223">
        <v>2</v>
      </c>
      <c r="G290" s="220" t="s">
        <v>1369</v>
      </c>
      <c r="H290" s="221" t="s">
        <v>1370</v>
      </c>
    </row>
    <row customHeight="true" ht="16.071428571428573" r="291">
      <c r="A291" s="220">
        <v>255</v>
      </c>
      <c r="B291" s="221" t="s">
        <v>1351</v>
      </c>
      <c r="C291" s="221" t="s">
        <v>1389</v>
      </c>
      <c r="D291" s="221" t="s">
        <v>1378</v>
      </c>
      <c r="E291" s="222">
        <v>37.9</v>
      </c>
      <c r="F291" s="223">
        <v>0.96</v>
      </c>
      <c r="G291" s="220" t="s">
        <v>1369</v>
      </c>
      <c r="H291" s="221" t="s">
        <v>1370</v>
      </c>
    </row>
    <row customHeight="true" ht="16.071428571428573" r="292">
      <c r="A292" s="220">
        <v>256</v>
      </c>
      <c r="B292" s="221" t="s">
        <v>1374</v>
      </c>
      <c r="C292" s="221" t="s">
        <v>1375</v>
      </c>
      <c r="D292" s="221" t="s">
        <v>1376</v>
      </c>
      <c r="E292" s="222">
        <v>41.4</v>
      </c>
      <c r="F292" s="223">
        <v>1.09</v>
      </c>
      <c r="G292" s="220" t="s">
        <v>1369</v>
      </c>
      <c r="H292" s="221" t="s">
        <v>1370</v>
      </c>
    </row>
    <row customHeight="true" ht="16.071428571428573" r="293">
      <c r="A293" s="220">
        <v>257</v>
      </c>
      <c r="B293" s="221" t="s">
        <v>1351</v>
      </c>
      <c r="C293" s="221" t="s">
        <v>1384</v>
      </c>
      <c r="D293" s="221" t="s">
        <v>1378</v>
      </c>
      <c r="E293" s="222">
        <v>36.9</v>
      </c>
      <c r="F293" s="223">
        <v>0.55</v>
      </c>
      <c r="G293" s="220" t="s">
        <v>1369</v>
      </c>
      <c r="H293" s="221" t="s">
        <v>1370</v>
      </c>
    </row>
    <row customHeight="true" ht="16.071428571428573" r="294">
      <c r="A294" s="220">
        <v>258</v>
      </c>
      <c r="B294" s="221" t="s">
        <v>1374</v>
      </c>
      <c r="C294" s="221" t="s">
        <v>1377</v>
      </c>
      <c r="D294" s="221" t="s">
        <v>1376</v>
      </c>
      <c r="E294" s="222">
        <v>43.7</v>
      </c>
      <c r="F294" s="223">
        <v>1.15</v>
      </c>
      <c r="G294" s="220" t="s">
        <v>1369</v>
      </c>
      <c r="H294" s="221" t="s">
        <v>1370</v>
      </c>
    </row>
    <row customHeight="true" ht="16.071428571428573" r="295">
      <c r="A295" s="220">
        <v>259</v>
      </c>
      <c r="B295" s="221" t="s">
        <v>1371</v>
      </c>
      <c r="C295" s="221" t="s">
        <v>1375</v>
      </c>
      <c r="D295" s="221" t="s">
        <v>1373</v>
      </c>
      <c r="E295" s="222">
        <v>42.6</v>
      </c>
      <c r="F295" s="223">
        <v>1.71</v>
      </c>
      <c r="G295" s="220" t="s">
        <v>1369</v>
      </c>
      <c r="H295" s="221" t="s">
        <v>1370</v>
      </c>
    </row>
    <row customHeight="true" ht="16.071428571428573" r="296">
      <c r="A296" s="220">
        <v>260</v>
      </c>
      <c r="B296" s="221" t="s">
        <v>1371</v>
      </c>
      <c r="C296" s="221" t="s">
        <v>1384</v>
      </c>
      <c r="D296" s="221" t="s">
        <v>1373</v>
      </c>
      <c r="E296" s="222">
        <v>45.5</v>
      </c>
      <c r="F296" s="223">
        <v>1.89</v>
      </c>
      <c r="G296" s="220" t="s">
        <v>1369</v>
      </c>
      <c r="H296" s="221" t="s">
        <v>1370</v>
      </c>
    </row>
    <row customHeight="true" ht="16.071428571428573" r="297">
      <c r="A297" s="220">
        <v>261</v>
      </c>
      <c r="B297" s="221" t="s">
        <v>1351</v>
      </c>
      <c r="C297" s="221" t="s">
        <v>1388</v>
      </c>
      <c r="D297" s="221" t="s">
        <v>1378</v>
      </c>
      <c r="E297" s="222">
        <v>38.8</v>
      </c>
      <c r="F297" s="223">
        <v>1.52</v>
      </c>
      <c r="G297" s="220" t="s">
        <v>1369</v>
      </c>
      <c r="H297" s="221" t="s">
        <v>1370</v>
      </c>
    </row>
    <row customHeight="true" ht="16.071428571428573" r="298">
      <c r="A298" s="220">
        <v>262</v>
      </c>
      <c r="B298" s="221" t="s">
        <v>1374</v>
      </c>
      <c r="C298" s="221" t="s">
        <v>1386</v>
      </c>
      <c r="D298" s="221" t="s">
        <v>1376</v>
      </c>
      <c r="E298" s="222">
        <v>36.4</v>
      </c>
      <c r="F298" s="223">
        <v>0.84</v>
      </c>
      <c r="G298" s="220" t="s">
        <v>1369</v>
      </c>
      <c r="H298" s="221" t="s">
        <v>1370</v>
      </c>
    </row>
    <row customHeight="true" ht="16.071428571428573" r="299">
      <c r="A299" s="220">
        <v>263</v>
      </c>
      <c r="B299" s="221" t="s">
        <v>1371</v>
      </c>
      <c r="C299" s="221" t="s">
        <v>1380</v>
      </c>
      <c r="D299" s="221" t="s">
        <v>1373</v>
      </c>
      <c r="E299" s="222">
        <v>38.7</v>
      </c>
      <c r="F299" s="223">
        <v>1.1</v>
      </c>
      <c r="G299" s="220" t="s">
        <v>1369</v>
      </c>
      <c r="H299" s="221" t="s">
        <v>1370</v>
      </c>
    </row>
    <row customHeight="true" ht="16.071428571428573" r="300">
      <c r="A300" s="220">
        <v>264</v>
      </c>
      <c r="B300" s="221" t="s">
        <v>1374</v>
      </c>
      <c r="C300" s="221" t="s">
        <v>1380</v>
      </c>
      <c r="D300" s="221" t="s">
        <v>1376</v>
      </c>
      <c r="E300" s="222">
        <v>38.7</v>
      </c>
      <c r="F300" s="223">
        <v>0.99</v>
      </c>
      <c r="G300" s="220" t="s">
        <v>1369</v>
      </c>
      <c r="H300" s="221" t="s">
        <v>1370</v>
      </c>
    </row>
    <row customHeight="true" ht="16.071428571428573" r="301">
      <c r="A301" s="220">
        <v>265</v>
      </c>
      <c r="B301" s="221" t="s">
        <v>1374</v>
      </c>
      <c r="C301" s="221" t="s">
        <v>1386</v>
      </c>
      <c r="D301" s="221" t="s">
        <v>1376</v>
      </c>
      <c r="E301" s="222">
        <v>41.4</v>
      </c>
      <c r="F301" s="223">
        <v>1.39</v>
      </c>
      <c r="G301" s="220" t="s">
        <v>1369</v>
      </c>
      <c r="H301" s="221" t="s">
        <v>1370</v>
      </c>
    </row>
    <row customHeight="true" ht="16.071428571428573" r="302">
      <c r="A302" s="220">
        <v>266</v>
      </c>
      <c r="B302" s="221" t="s">
        <v>1351</v>
      </c>
      <c r="C302" s="221" t="s">
        <v>1380</v>
      </c>
      <c r="D302" s="221" t="s">
        <v>1378</v>
      </c>
      <c r="E302" s="222">
        <v>39.5</v>
      </c>
      <c r="F302" s="223">
        <v>0.85</v>
      </c>
      <c r="G302" s="220" t="s">
        <v>1369</v>
      </c>
      <c r="H302" s="221" t="s">
        <v>1370</v>
      </c>
    </row>
    <row customHeight="true" ht="16.071428571428573" r="303">
      <c r="A303" s="220">
        <v>267</v>
      </c>
      <c r="B303" s="221" t="s">
        <v>1351</v>
      </c>
      <c r="C303" s="221" t="s">
        <v>1385</v>
      </c>
      <c r="D303" s="221" t="s">
        <v>1378</v>
      </c>
      <c r="E303" s="222">
        <v>43.2</v>
      </c>
      <c r="F303" s="223">
        <v>1.05</v>
      </c>
      <c r="G303" s="220" t="s">
        <v>1369</v>
      </c>
      <c r="H303" s="221" t="s">
        <v>1370</v>
      </c>
    </row>
    <row customHeight="true" ht="16.071428571428573" r="304">
      <c r="A304" s="220">
        <v>268</v>
      </c>
      <c r="B304" s="221" t="s">
        <v>1351</v>
      </c>
      <c r="C304" s="221" t="s">
        <v>1386</v>
      </c>
      <c r="D304" s="221" t="s">
        <v>1378</v>
      </c>
      <c r="E304" s="222">
        <v>38.9</v>
      </c>
      <c r="F304" s="223">
        <v>2.01</v>
      </c>
      <c r="G304" s="220" t="s">
        <v>1369</v>
      </c>
      <c r="H304" s="221" t="s">
        <v>1370</v>
      </c>
    </row>
    <row customHeight="true" ht="16.071428571428573" r="305">
      <c r="A305" s="220">
        <v>269</v>
      </c>
      <c r="B305" s="221" t="s">
        <v>1374</v>
      </c>
      <c r="C305" s="221" t="s">
        <v>1384</v>
      </c>
      <c r="D305" s="221" t="s">
        <v>1376</v>
      </c>
      <c r="E305" s="222">
        <v>37.9</v>
      </c>
      <c r="F305" s="223">
        <v>0.79</v>
      </c>
      <c r="G305" s="220" t="s">
        <v>1369</v>
      </c>
      <c r="H305" s="221" t="s">
        <v>1370</v>
      </c>
    </row>
    <row customHeight="true" ht="16.071428571428573" r="306">
      <c r="A306" s="220">
        <v>270</v>
      </c>
      <c r="B306" s="221" t="s">
        <v>1374</v>
      </c>
      <c r="C306" s="221" t="s">
        <v>1367</v>
      </c>
      <c r="D306" s="221" t="s">
        <v>1376</v>
      </c>
      <c r="E306" s="222">
        <v>38.2</v>
      </c>
      <c r="F306" s="223">
        <v>1.31</v>
      </c>
      <c r="G306" s="220" t="s">
        <v>1369</v>
      </c>
      <c r="H306" s="221" t="s">
        <v>1370</v>
      </c>
    </row>
    <row customHeight="true" ht="16.071428571428573" r="307">
      <c r="A307" s="220">
        <v>271</v>
      </c>
      <c r="B307" s="221" t="s">
        <v>1351</v>
      </c>
      <c r="C307" s="221" t="s">
        <v>1388</v>
      </c>
      <c r="D307" s="221" t="s">
        <v>1378</v>
      </c>
      <c r="E307" s="222">
        <v>38.8</v>
      </c>
      <c r="F307" s="223">
        <v>1.45</v>
      </c>
      <c r="G307" s="220" t="s">
        <v>1369</v>
      </c>
      <c r="H307" s="221" t="s">
        <v>1370</v>
      </c>
    </row>
    <row customHeight="true" ht="16.071428571428573" r="308">
      <c r="A308" s="220">
        <v>272</v>
      </c>
      <c r="B308" s="221" t="s">
        <v>1374</v>
      </c>
      <c r="C308" s="221" t="s">
        <v>1383</v>
      </c>
      <c r="D308" s="221" t="s">
        <v>1376</v>
      </c>
      <c r="E308" s="222">
        <v>38.5</v>
      </c>
      <c r="F308" s="223">
        <v>2.05</v>
      </c>
      <c r="G308" s="220" t="s">
        <v>1369</v>
      </c>
      <c r="H308" s="221" t="s">
        <v>1370</v>
      </c>
    </row>
    <row customHeight="true" ht="16.071428571428573" r="309">
      <c r="A309" s="220">
        <v>273</v>
      </c>
      <c r="B309" s="221" t="s">
        <v>1353</v>
      </c>
      <c r="C309" s="221" t="s">
        <v>1380</v>
      </c>
      <c r="D309" s="221" t="s">
        <v>1368</v>
      </c>
      <c r="E309" s="222">
        <v>44</v>
      </c>
      <c r="F309" s="223">
        <v>0.94</v>
      </c>
      <c r="G309" s="220" t="s">
        <v>1369</v>
      </c>
      <c r="H309" s="221" t="s">
        <v>1370</v>
      </c>
    </row>
    <row customHeight="true" ht="16.071428571428573" r="310">
      <c r="A310" s="220">
        <v>274</v>
      </c>
      <c r="B310" s="221" t="s">
        <v>1353</v>
      </c>
      <c r="C310" s="221" t="s">
        <v>1385</v>
      </c>
      <c r="D310" s="221" t="s">
        <v>1368</v>
      </c>
      <c r="E310" s="222">
        <v>45.2</v>
      </c>
      <c r="F310" s="223">
        <v>1.09</v>
      </c>
      <c r="G310" s="220" t="s">
        <v>1369</v>
      </c>
      <c r="H310" s="221" t="s">
        <v>1370</v>
      </c>
    </row>
    <row customHeight="true" ht="16.071428571428573" r="311">
      <c r="A311" s="220">
        <v>275</v>
      </c>
      <c r="B311" s="221" t="s">
        <v>1353</v>
      </c>
      <c r="C311" s="221" t="s">
        <v>1372</v>
      </c>
      <c r="D311" s="221" t="s">
        <v>1368</v>
      </c>
      <c r="E311" s="222">
        <v>42.7</v>
      </c>
      <c r="F311" s="223">
        <v>0.55</v>
      </c>
      <c r="G311" s="220" t="s">
        <v>1369</v>
      </c>
      <c r="H311" s="221" t="s">
        <v>1370</v>
      </c>
    </row>
    <row customHeight="true" ht="16.071428571428573" r="312">
      <c r="A312" s="220">
        <v>276</v>
      </c>
      <c r="B312" s="221" t="s">
        <v>1374</v>
      </c>
      <c r="C312" s="221" t="s">
        <v>1388</v>
      </c>
      <c r="D312" s="221" t="s">
        <v>1376</v>
      </c>
      <c r="E312" s="222">
        <v>42.9</v>
      </c>
      <c r="F312" s="223">
        <v>0.96</v>
      </c>
      <c r="G312" s="220" t="s">
        <v>1369</v>
      </c>
      <c r="H312" s="221" t="s">
        <v>1370</v>
      </c>
    </row>
    <row customHeight="true" ht="16.071428571428573" r="313">
      <c r="A313" s="220">
        <v>277</v>
      </c>
      <c r="B313" s="221" t="s">
        <v>1351</v>
      </c>
      <c r="C313" s="221" t="s">
        <v>1380</v>
      </c>
      <c r="D313" s="221" t="s">
        <v>1378</v>
      </c>
      <c r="E313" s="222">
        <v>44.2</v>
      </c>
      <c r="F313" s="223">
        <v>1.44</v>
      </c>
      <c r="G313" s="220" t="s">
        <v>1369</v>
      </c>
      <c r="H313" s="221" t="s">
        <v>1370</v>
      </c>
    </row>
    <row customHeight="true" ht="16.071428571428573" r="314">
      <c r="A314" s="220">
        <v>278</v>
      </c>
      <c r="B314" s="221" t="s">
        <v>1351</v>
      </c>
      <c r="C314" s="221" t="s">
        <v>1372</v>
      </c>
      <c r="D314" s="221" t="s">
        <v>1378</v>
      </c>
      <c r="E314" s="222">
        <v>40.5</v>
      </c>
      <c r="F314" s="223">
        <v>1.83</v>
      </c>
      <c r="G314" s="220" t="s">
        <v>1369</v>
      </c>
      <c r="H314" s="221" t="s">
        <v>1370</v>
      </c>
    </row>
    <row customHeight="true" ht="16.071428571428573" r="315">
      <c r="A315" s="220">
        <v>279</v>
      </c>
      <c r="B315" s="221" t="s">
        <v>1351</v>
      </c>
      <c r="C315" s="221" t="s">
        <v>1367</v>
      </c>
      <c r="D315" s="221" t="s">
        <v>1378</v>
      </c>
      <c r="E315" s="222">
        <v>37.4</v>
      </c>
      <c r="F315" s="223">
        <v>0.97</v>
      </c>
      <c r="G315" s="220" t="s">
        <v>1369</v>
      </c>
      <c r="H315" s="221" t="s">
        <v>1370</v>
      </c>
    </row>
    <row customHeight="true" ht="16.071428571428573" r="316">
      <c r="A316" s="220">
        <v>280</v>
      </c>
      <c r="B316" s="221" t="s">
        <v>1374</v>
      </c>
      <c r="C316" s="221" t="s">
        <v>1385</v>
      </c>
      <c r="D316" s="221" t="s">
        <v>1376</v>
      </c>
      <c r="E316" s="222">
        <v>36.6</v>
      </c>
      <c r="F316" s="223">
        <v>1.5</v>
      </c>
      <c r="G316" s="220" t="s">
        <v>1369</v>
      </c>
      <c r="H316" s="221" t="s">
        <v>1370</v>
      </c>
    </row>
    <row customHeight="true" ht="16.071428571428573" r="317">
      <c r="A317" s="220">
        <v>281</v>
      </c>
      <c r="B317" s="221" t="s">
        <v>1371</v>
      </c>
      <c r="C317" s="221" t="s">
        <v>1367</v>
      </c>
      <c r="D317" s="221" t="s">
        <v>1373</v>
      </c>
      <c r="E317" s="222">
        <v>39.9</v>
      </c>
      <c r="F317" s="223">
        <v>1.7</v>
      </c>
      <c r="G317" s="220" t="s">
        <v>1369</v>
      </c>
      <c r="H317" s="221" t="s">
        <v>1370</v>
      </c>
    </row>
    <row customHeight="true" ht="16.071428571428573" r="318">
      <c r="A318" s="220">
        <v>282</v>
      </c>
      <c r="B318" s="221" t="s">
        <v>1374</v>
      </c>
      <c r="C318" s="221" t="s">
        <v>1367</v>
      </c>
      <c r="D318" s="221" t="s">
        <v>1376</v>
      </c>
      <c r="E318" s="222">
        <v>44.5</v>
      </c>
      <c r="F318" s="223">
        <v>1.58</v>
      </c>
      <c r="G318" s="220" t="s">
        <v>1369</v>
      </c>
      <c r="H318" s="221" t="s">
        <v>1370</v>
      </c>
    </row>
    <row customHeight="true" ht="16.071428571428573" r="319">
      <c r="A319" s="220">
        <v>283</v>
      </c>
      <c r="B319" s="221" t="s">
        <v>1374</v>
      </c>
      <c r="C319" s="221" t="s">
        <v>1380</v>
      </c>
      <c r="D319" s="221" t="s">
        <v>1376</v>
      </c>
      <c r="E319" s="222">
        <v>40.8</v>
      </c>
      <c r="F319" s="223">
        <v>1.53</v>
      </c>
      <c r="G319" s="220" t="s">
        <v>1369</v>
      </c>
      <c r="H319" s="221" t="s">
        <v>1370</v>
      </c>
    </row>
    <row customHeight="true" ht="16.071428571428573" r="320">
      <c r="A320" s="220">
        <v>284</v>
      </c>
      <c r="B320" s="221" t="s">
        <v>1374</v>
      </c>
      <c r="C320" s="221" t="s">
        <v>1389</v>
      </c>
      <c r="D320" s="221" t="s">
        <v>1376</v>
      </c>
      <c r="E320" s="222">
        <v>39.5</v>
      </c>
      <c r="F320" s="223">
        <v>0.96</v>
      </c>
      <c r="G320" s="220" t="s">
        <v>1369</v>
      </c>
      <c r="H320" s="221" t="s">
        <v>1370</v>
      </c>
    </row>
    <row customHeight="true" ht="16.071428571428573" r="321">
      <c r="A321" s="220">
        <v>285</v>
      </c>
      <c r="B321" s="221" t="s">
        <v>1353</v>
      </c>
      <c r="C321" s="221" t="s">
        <v>1377</v>
      </c>
      <c r="D321" s="221" t="s">
        <v>1368</v>
      </c>
      <c r="E321" s="222">
        <v>40.5</v>
      </c>
      <c r="F321" s="223">
        <v>2.03</v>
      </c>
      <c r="G321" s="220" t="s">
        <v>1369</v>
      </c>
      <c r="H321" s="221" t="s">
        <v>1370</v>
      </c>
    </row>
    <row customHeight="true" ht="16.071428571428573" r="322">
      <c r="A322" s="220">
        <v>286</v>
      </c>
      <c r="B322" s="221" t="s">
        <v>1351</v>
      </c>
      <c r="C322" s="221" t="s">
        <v>1389</v>
      </c>
      <c r="D322" s="221" t="s">
        <v>1378</v>
      </c>
      <c r="E322" s="222">
        <v>38.9</v>
      </c>
      <c r="F322" s="223">
        <v>0.57</v>
      </c>
      <c r="G322" s="220" t="s">
        <v>1369</v>
      </c>
      <c r="H322" s="221" t="s">
        <v>1370</v>
      </c>
    </row>
    <row customHeight="true" ht="16.071428571428573" r="323">
      <c r="A323" s="220">
        <v>287</v>
      </c>
      <c r="B323" s="221" t="s">
        <v>1353</v>
      </c>
      <c r="C323" s="221" t="s">
        <v>1388</v>
      </c>
      <c r="D323" s="221" t="s">
        <v>1368</v>
      </c>
      <c r="E323" s="222">
        <v>44</v>
      </c>
      <c r="F323" s="223">
        <v>1.53</v>
      </c>
      <c r="G323" s="220" t="s">
        <v>1369</v>
      </c>
      <c r="H323" s="221" t="s">
        <v>1370</v>
      </c>
    </row>
    <row customHeight="true" ht="16.071428571428573" r="324">
      <c r="A324" s="220">
        <v>288</v>
      </c>
      <c r="B324" s="221" t="s">
        <v>1374</v>
      </c>
      <c r="C324" s="221" t="s">
        <v>1384</v>
      </c>
      <c r="D324" s="221" t="s">
        <v>1376</v>
      </c>
      <c r="E324" s="222">
        <v>43.1</v>
      </c>
      <c r="F324" s="223">
        <v>1.1</v>
      </c>
      <c r="G324" s="220" t="s">
        <v>1369</v>
      </c>
      <c r="H324" s="221" t="s">
        <v>1370</v>
      </c>
    </row>
    <row customHeight="true" ht="16.071428571428573" r="325">
      <c r="A325" s="220">
        <v>289</v>
      </c>
      <c r="B325" s="221" t="s">
        <v>1351</v>
      </c>
      <c r="C325" s="221" t="s">
        <v>1367</v>
      </c>
      <c r="D325" s="221" t="s">
        <v>1378</v>
      </c>
      <c r="E325" s="222">
        <v>36.8</v>
      </c>
      <c r="F325" s="223">
        <v>0.65</v>
      </c>
      <c r="G325" s="220" t="s">
        <v>1369</v>
      </c>
      <c r="H325" s="221" t="s">
        <v>1370</v>
      </c>
    </row>
    <row customHeight="true" ht="16.071428571428573" r="326">
      <c r="A326" s="220">
        <v>290</v>
      </c>
      <c r="B326" s="221" t="s">
        <v>1351</v>
      </c>
      <c r="C326" s="221" t="s">
        <v>1377</v>
      </c>
      <c r="D326" s="221" t="s">
        <v>1378</v>
      </c>
      <c r="E326" s="222">
        <v>39.4</v>
      </c>
      <c r="F326" s="223">
        <v>1.57</v>
      </c>
      <c r="G326" s="220" t="s">
        <v>1369</v>
      </c>
      <c r="H326" s="221" t="s">
        <v>1370</v>
      </c>
    </row>
    <row customHeight="true" ht="16.071428571428573" r="327">
      <c r="A327" s="220">
        <v>291</v>
      </c>
      <c r="B327" s="221" t="s">
        <v>1374</v>
      </c>
      <c r="C327" s="221" t="s">
        <v>1389</v>
      </c>
      <c r="D327" s="221" t="s">
        <v>1376</v>
      </c>
      <c r="E327" s="222">
        <v>39.3</v>
      </c>
      <c r="F327" s="223">
        <v>1.59</v>
      </c>
      <c r="G327" s="220" t="s">
        <v>1369</v>
      </c>
      <c r="H327" s="221" t="s">
        <v>1370</v>
      </c>
    </row>
    <row customHeight="true" ht="16.071428571428573" r="328">
      <c r="A328" s="220">
        <v>292</v>
      </c>
      <c r="B328" s="221" t="s">
        <v>1353</v>
      </c>
      <c r="C328" s="221" t="s">
        <v>1386</v>
      </c>
      <c r="D328" s="221" t="s">
        <v>1368</v>
      </c>
      <c r="E328" s="222">
        <v>40.4</v>
      </c>
      <c r="F328" s="223">
        <v>0.58</v>
      </c>
      <c r="G328" s="220" t="s">
        <v>1369</v>
      </c>
      <c r="H328" s="221" t="s">
        <v>1370</v>
      </c>
    </row>
    <row customHeight="true" ht="16.071428571428573" r="329">
      <c r="A329" s="220">
        <v>293</v>
      </c>
      <c r="B329" s="221" t="s">
        <v>1374</v>
      </c>
      <c r="C329" s="221" t="s">
        <v>1367</v>
      </c>
      <c r="D329" s="221" t="s">
        <v>1376</v>
      </c>
      <c r="E329" s="222">
        <v>44.7</v>
      </c>
      <c r="F329" s="223">
        <v>1.98</v>
      </c>
      <c r="G329" s="220" t="s">
        <v>1369</v>
      </c>
      <c r="H329" s="221" t="s">
        <v>1370</v>
      </c>
    </row>
    <row customHeight="true" ht="16.071428571428573" r="330">
      <c r="A330" s="220">
        <v>294</v>
      </c>
      <c r="B330" s="221" t="s">
        <v>1374</v>
      </c>
      <c r="C330" s="221" t="s">
        <v>1388</v>
      </c>
      <c r="D330" s="221" t="s">
        <v>1376</v>
      </c>
      <c r="E330" s="222">
        <v>45.3</v>
      </c>
      <c r="F330" s="223">
        <v>1.11</v>
      </c>
      <c r="G330" s="220" t="s">
        <v>1369</v>
      </c>
      <c r="H330" s="221" t="s">
        <v>1370</v>
      </c>
    </row>
    <row customHeight="true" ht="16.071428571428573" r="331">
      <c r="A331" s="220">
        <v>295</v>
      </c>
      <c r="B331" s="221" t="s">
        <v>1353</v>
      </c>
      <c r="C331" s="221" t="s">
        <v>1388</v>
      </c>
      <c r="D331" s="221" t="s">
        <v>1368</v>
      </c>
      <c r="E331" s="222">
        <v>37.8</v>
      </c>
      <c r="F331" s="223">
        <v>0.64</v>
      </c>
      <c r="G331" s="220" t="s">
        <v>1369</v>
      </c>
      <c r="H331" s="221" t="s">
        <v>1370</v>
      </c>
    </row>
    <row customHeight="true" ht="16.071428571428573" r="332">
      <c r="A332" s="220">
        <v>296</v>
      </c>
      <c r="B332" s="221" t="s">
        <v>1353</v>
      </c>
      <c r="C332" s="221" t="s">
        <v>1383</v>
      </c>
      <c r="D332" s="221" t="s">
        <v>1368</v>
      </c>
      <c r="E332" s="222">
        <v>43.9</v>
      </c>
      <c r="F332" s="223">
        <v>1.62</v>
      </c>
      <c r="G332" s="220" t="s">
        <v>1369</v>
      </c>
      <c r="H332" s="221" t="s">
        <v>1370</v>
      </c>
    </row>
    <row customHeight="true" ht="16.071428571428573" r="333">
      <c r="A333" s="220">
        <v>297</v>
      </c>
      <c r="B333" s="221" t="s">
        <v>1371</v>
      </c>
      <c r="C333" s="221" t="s">
        <v>1386</v>
      </c>
      <c r="D333" s="221" t="s">
        <v>1373</v>
      </c>
      <c r="E333" s="222">
        <v>45.2</v>
      </c>
      <c r="F333" s="223">
        <v>1.26</v>
      </c>
      <c r="G333" s="220" t="s">
        <v>1369</v>
      </c>
      <c r="H333" s="221" t="s">
        <v>1370</v>
      </c>
    </row>
    <row customHeight="true" ht="16.071428571428573" r="334">
      <c r="A334" s="220">
        <v>298</v>
      </c>
      <c r="B334" s="221" t="s">
        <v>1351</v>
      </c>
      <c r="C334" s="221" t="s">
        <v>1375</v>
      </c>
      <c r="D334" s="221" t="s">
        <v>1378</v>
      </c>
      <c r="E334" s="222">
        <v>42.6</v>
      </c>
      <c r="F334" s="223">
        <v>0.57</v>
      </c>
      <c r="G334" s="220" t="s">
        <v>1369</v>
      </c>
      <c r="H334" s="221" t="s">
        <v>1370</v>
      </c>
    </row>
    <row customHeight="true" ht="16.071428571428573" r="335">
      <c r="A335" s="220">
        <v>299</v>
      </c>
      <c r="B335" s="221" t="s">
        <v>1353</v>
      </c>
      <c r="C335" s="221" t="s">
        <v>1377</v>
      </c>
      <c r="D335" s="221" t="s">
        <v>1368</v>
      </c>
      <c r="E335" s="222">
        <v>37.5</v>
      </c>
      <c r="F335" s="223">
        <v>1.89</v>
      </c>
      <c r="G335" s="220" t="s">
        <v>1369</v>
      </c>
      <c r="H335" s="221" t="s">
        <v>1370</v>
      </c>
    </row>
    <row customHeight="true" ht="16.071428571428573" r="336">
      <c r="A336" s="220">
        <v>300</v>
      </c>
      <c r="B336" s="221" t="s">
        <v>1371</v>
      </c>
      <c r="C336" s="221" t="s">
        <v>1372</v>
      </c>
      <c r="D336" s="221" t="s">
        <v>1373</v>
      </c>
      <c r="E336" s="222">
        <v>44.2</v>
      </c>
      <c r="F336" s="223">
        <v>1.19</v>
      </c>
      <c r="G336" s="220" t="s">
        <v>1369</v>
      </c>
      <c r="H336" s="221" t="s">
        <v>1370</v>
      </c>
    </row>
    <row customHeight="true" ht="16.071428571428573" r="337">
      <c r="A337" s="220">
        <v>301</v>
      </c>
      <c r="B337" s="221" t="s">
        <v>1374</v>
      </c>
      <c r="C337" s="221" t="s">
        <v>1380</v>
      </c>
      <c r="D337" s="221" t="s">
        <v>1376</v>
      </c>
      <c r="E337" s="222">
        <v>39.8</v>
      </c>
      <c r="F337" s="223">
        <v>0.84</v>
      </c>
      <c r="G337" s="220" t="s">
        <v>1369</v>
      </c>
      <c r="H337" s="221" t="s">
        <v>1370</v>
      </c>
    </row>
    <row customHeight="true" ht="16.071428571428573" r="338">
      <c r="A338" s="220">
        <v>302</v>
      </c>
      <c r="B338" s="221" t="s">
        <v>1374</v>
      </c>
      <c r="C338" s="221" t="s">
        <v>1380</v>
      </c>
      <c r="D338" s="221" t="s">
        <v>1376</v>
      </c>
      <c r="E338" s="222">
        <v>40.5</v>
      </c>
      <c r="F338" s="223">
        <v>0.94</v>
      </c>
      <c r="G338" s="220" t="s">
        <v>1369</v>
      </c>
      <c r="H338" s="221" t="s">
        <v>1370</v>
      </c>
    </row>
    <row customHeight="true" ht="16.071428571428573" r="339">
      <c r="A339" s="220">
        <v>303</v>
      </c>
      <c r="B339" s="221" t="s">
        <v>1371</v>
      </c>
      <c r="C339" s="221" t="s">
        <v>1375</v>
      </c>
      <c r="D339" s="221" t="s">
        <v>1373</v>
      </c>
      <c r="E339" s="222">
        <v>45.7</v>
      </c>
      <c r="F339" s="223">
        <v>1.03</v>
      </c>
      <c r="G339" s="220" t="s">
        <v>1369</v>
      </c>
      <c r="H339" s="221" t="s">
        <v>1370</v>
      </c>
    </row>
    <row customHeight="true" ht="16.071428571428573" r="340">
      <c r="A340" s="220">
        <v>304</v>
      </c>
      <c r="B340" s="221" t="s">
        <v>1374</v>
      </c>
      <c r="C340" s="221" t="s">
        <v>1379</v>
      </c>
      <c r="D340" s="221" t="s">
        <v>1376</v>
      </c>
      <c r="E340" s="222">
        <v>41.4</v>
      </c>
      <c r="F340" s="223">
        <v>0.74</v>
      </c>
      <c r="G340" s="220" t="s">
        <v>1369</v>
      </c>
      <c r="H340" s="221" t="s">
        <v>1370</v>
      </c>
    </row>
    <row customHeight="true" ht="16.071428571428573" r="341">
      <c r="A341" s="220">
        <v>305</v>
      </c>
      <c r="B341" s="221" t="s">
        <v>1353</v>
      </c>
      <c r="C341" s="221" t="s">
        <v>1367</v>
      </c>
      <c r="D341" s="221" t="s">
        <v>1368</v>
      </c>
      <c r="E341" s="222">
        <v>38.5</v>
      </c>
      <c r="F341" s="223">
        <v>0.89</v>
      </c>
      <c r="G341" s="220" t="s">
        <v>1369</v>
      </c>
      <c r="H341" s="221" t="s">
        <v>1370</v>
      </c>
    </row>
    <row customHeight="true" ht="16.071428571428573" r="342">
      <c r="A342" s="220">
        <v>306</v>
      </c>
      <c r="B342" s="221" t="s">
        <v>1374</v>
      </c>
      <c r="C342" s="221" t="s">
        <v>1372</v>
      </c>
      <c r="D342" s="221" t="s">
        <v>1376</v>
      </c>
      <c r="E342" s="222">
        <v>45.1</v>
      </c>
      <c r="F342" s="223">
        <v>1.78</v>
      </c>
      <c r="G342" s="220" t="s">
        <v>1369</v>
      </c>
      <c r="H342" s="221" t="s">
        <v>1370</v>
      </c>
    </row>
    <row customHeight="true" ht="16.071428571428573" r="343">
      <c r="A343" s="220">
        <v>307</v>
      </c>
      <c r="B343" s="221" t="s">
        <v>1374</v>
      </c>
      <c r="C343" s="221" t="s">
        <v>1367</v>
      </c>
      <c r="D343" s="221" t="s">
        <v>1376</v>
      </c>
      <c r="E343" s="222">
        <v>40.7</v>
      </c>
      <c r="F343" s="223">
        <v>0.83</v>
      </c>
      <c r="G343" s="220" t="s">
        <v>1369</v>
      </c>
      <c r="H343" s="221" t="s">
        <v>1370</v>
      </c>
    </row>
    <row customHeight="true" ht="16.071428571428573" r="344">
      <c r="A344" s="220">
        <v>308</v>
      </c>
      <c r="B344" s="221" t="s">
        <v>1374</v>
      </c>
      <c r="C344" s="221" t="s">
        <v>1384</v>
      </c>
      <c r="D344" s="221" t="s">
        <v>1376</v>
      </c>
      <c r="E344" s="222">
        <v>43.2</v>
      </c>
      <c r="F344" s="223">
        <v>0.64</v>
      </c>
      <c r="G344" s="220" t="s">
        <v>1369</v>
      </c>
      <c r="H344" s="221" t="s">
        <v>1370</v>
      </c>
    </row>
    <row customHeight="true" ht="16.071428571428573" r="345">
      <c r="A345" s="220">
        <v>309</v>
      </c>
      <c r="B345" s="221" t="s">
        <v>1374</v>
      </c>
      <c r="C345" s="221" t="s">
        <v>1375</v>
      </c>
      <c r="D345" s="221" t="s">
        <v>1376</v>
      </c>
      <c r="E345" s="222">
        <v>38.3</v>
      </c>
      <c r="F345" s="223">
        <v>1.58</v>
      </c>
      <c r="G345" s="220" t="s">
        <v>1369</v>
      </c>
      <c r="H345" s="221" t="s">
        <v>1370</v>
      </c>
    </row>
    <row customHeight="true" ht="16.071428571428573" r="346">
      <c r="A346" s="220">
        <v>310</v>
      </c>
      <c r="B346" s="221" t="s">
        <v>1371</v>
      </c>
      <c r="C346" s="221" t="s">
        <v>1383</v>
      </c>
      <c r="D346" s="221" t="s">
        <v>1373</v>
      </c>
      <c r="E346" s="222">
        <v>38.9</v>
      </c>
      <c r="F346" s="223">
        <v>2.08</v>
      </c>
      <c r="G346" s="220" t="s">
        <v>1369</v>
      </c>
      <c r="H346" s="221" t="s">
        <v>1370</v>
      </c>
    </row>
    <row customHeight="true" ht="16.071428571428573" r="347">
      <c r="A347" s="220">
        <v>311</v>
      </c>
      <c r="B347" s="221" t="s">
        <v>1374</v>
      </c>
      <c r="C347" s="221" t="s">
        <v>1386</v>
      </c>
      <c r="D347" s="221" t="s">
        <v>1376</v>
      </c>
      <c r="E347" s="222">
        <v>38.3</v>
      </c>
      <c r="F347" s="223">
        <v>1.68</v>
      </c>
      <c r="G347" s="220" t="s">
        <v>1369</v>
      </c>
      <c r="H347" s="221" t="s">
        <v>1370</v>
      </c>
    </row>
    <row customHeight="true" ht="16.071428571428573" r="348">
      <c r="A348" s="220">
        <v>312</v>
      </c>
      <c r="B348" s="221" t="s">
        <v>1374</v>
      </c>
      <c r="C348" s="221" t="s">
        <v>1385</v>
      </c>
      <c r="D348" s="221" t="s">
        <v>1376</v>
      </c>
      <c r="E348" s="222">
        <v>37.8</v>
      </c>
      <c r="F348" s="223">
        <v>0.98</v>
      </c>
      <c r="G348" s="220" t="s">
        <v>1369</v>
      </c>
      <c r="H348" s="221" t="s">
        <v>1370</v>
      </c>
    </row>
    <row customHeight="true" ht="16.071428571428573" r="349">
      <c r="A349" s="220">
        <v>313</v>
      </c>
      <c r="B349" s="221" t="s">
        <v>1371</v>
      </c>
      <c r="C349" s="221" t="s">
        <v>1380</v>
      </c>
      <c r="D349" s="221" t="s">
        <v>1373</v>
      </c>
      <c r="E349" s="222">
        <v>39.1</v>
      </c>
      <c r="F349" s="223">
        <v>0.71</v>
      </c>
      <c r="G349" s="220" t="s">
        <v>1369</v>
      </c>
      <c r="H349" s="221" t="s">
        <v>1370</v>
      </c>
    </row>
    <row customHeight="true" ht="16.071428571428573" r="350">
      <c r="A350" s="220">
        <v>314</v>
      </c>
      <c r="B350" s="221" t="s">
        <v>1351</v>
      </c>
      <c r="C350" s="221" t="s">
        <v>1383</v>
      </c>
      <c r="D350" s="221" t="s">
        <v>1378</v>
      </c>
      <c r="E350" s="222">
        <v>42.7</v>
      </c>
      <c r="F350" s="223">
        <v>1.33</v>
      </c>
      <c r="G350" s="220" t="s">
        <v>1369</v>
      </c>
      <c r="H350" s="221" t="s">
        <v>1370</v>
      </c>
    </row>
    <row customHeight="true" ht="16.071428571428573" r="351">
      <c r="A351" s="220">
        <v>315</v>
      </c>
      <c r="B351" s="221" t="s">
        <v>1374</v>
      </c>
      <c r="C351" s="221" t="s">
        <v>1380</v>
      </c>
      <c r="D351" s="221" t="s">
        <v>1376</v>
      </c>
      <c r="E351" s="222">
        <v>38.8</v>
      </c>
      <c r="F351" s="223">
        <v>0.71</v>
      </c>
      <c r="G351" s="220" t="s">
        <v>1369</v>
      </c>
      <c r="H351" s="221" t="s">
        <v>1370</v>
      </c>
    </row>
    <row customHeight="true" ht="16.071428571428573" r="352">
      <c r="A352" s="220">
        <v>316</v>
      </c>
      <c r="B352" s="221" t="s">
        <v>1374</v>
      </c>
      <c r="C352" s="221" t="s">
        <v>1383</v>
      </c>
      <c r="D352" s="221" t="s">
        <v>1376</v>
      </c>
      <c r="E352" s="222">
        <v>37.5</v>
      </c>
      <c r="F352" s="223">
        <v>1.54</v>
      </c>
      <c r="G352" s="220" t="s">
        <v>1369</v>
      </c>
      <c r="H352" s="221" t="s">
        <v>1370</v>
      </c>
    </row>
    <row customHeight="true" ht="16.071428571428573" r="353">
      <c r="A353" s="220">
        <v>317</v>
      </c>
      <c r="B353" s="221" t="s">
        <v>1351</v>
      </c>
      <c r="C353" s="221" t="s">
        <v>1389</v>
      </c>
      <c r="D353" s="221" t="s">
        <v>1378</v>
      </c>
      <c r="E353" s="222">
        <v>42.3</v>
      </c>
      <c r="F353" s="223">
        <v>1.8</v>
      </c>
      <c r="G353" s="220" t="s">
        <v>1369</v>
      </c>
      <c r="H353" s="221" t="s">
        <v>1370</v>
      </c>
    </row>
    <row customHeight="true" ht="16.071428571428573" r="354">
      <c r="A354" s="220">
        <v>318</v>
      </c>
      <c r="B354" s="221" t="s">
        <v>1353</v>
      </c>
      <c r="C354" s="221" t="s">
        <v>1367</v>
      </c>
      <c r="D354" s="221" t="s">
        <v>1368</v>
      </c>
      <c r="E354" s="222">
        <v>36.9</v>
      </c>
      <c r="F354" s="223">
        <v>1.58</v>
      </c>
      <c r="G354" s="220" t="s">
        <v>1369</v>
      </c>
      <c r="H354" s="221" t="s">
        <v>1370</v>
      </c>
    </row>
    <row customHeight="true" ht="16.071428571428573" r="355">
      <c r="A355" s="220">
        <v>319</v>
      </c>
      <c r="B355" s="221" t="s">
        <v>1351</v>
      </c>
      <c r="C355" s="221" t="s">
        <v>1383</v>
      </c>
      <c r="D355" s="221" t="s">
        <v>1378</v>
      </c>
      <c r="E355" s="222">
        <v>37</v>
      </c>
      <c r="F355" s="223">
        <v>1.32</v>
      </c>
      <c r="G355" s="220" t="s">
        <v>1369</v>
      </c>
      <c r="H355" s="221" t="s">
        <v>1370</v>
      </c>
    </row>
    <row customHeight="true" ht="16.071428571428573" r="356">
      <c r="A356" s="220">
        <v>320</v>
      </c>
      <c r="B356" s="221" t="s">
        <v>1351</v>
      </c>
      <c r="C356" s="221" t="s">
        <v>1383</v>
      </c>
      <c r="D356" s="221" t="s">
        <v>1378</v>
      </c>
      <c r="E356" s="222">
        <v>43.3</v>
      </c>
      <c r="F356" s="223">
        <v>1.74</v>
      </c>
      <c r="G356" s="220" t="s">
        <v>1369</v>
      </c>
      <c r="H356" s="221" t="s">
        <v>1370</v>
      </c>
    </row>
    <row customHeight="true" ht="16.071428571428573" r="357">
      <c r="A357" s="220">
        <v>321</v>
      </c>
      <c r="B357" s="221" t="s">
        <v>1351</v>
      </c>
      <c r="C357" s="221" t="s">
        <v>1385</v>
      </c>
      <c r="D357" s="221" t="s">
        <v>1378</v>
      </c>
      <c r="E357" s="222">
        <v>45.5</v>
      </c>
      <c r="F357" s="223">
        <v>1.63</v>
      </c>
      <c r="G357" s="220" t="s">
        <v>1369</v>
      </c>
      <c r="H357" s="221" t="s">
        <v>1370</v>
      </c>
    </row>
    <row customHeight="true" ht="16.071428571428573" r="358">
      <c r="A358" s="220">
        <v>322</v>
      </c>
      <c r="B358" s="221" t="s">
        <v>1353</v>
      </c>
      <c r="C358" s="221" t="s">
        <v>1372</v>
      </c>
      <c r="D358" s="221" t="s">
        <v>1368</v>
      </c>
      <c r="E358" s="222">
        <v>38.2</v>
      </c>
      <c r="F358" s="223">
        <v>0.76</v>
      </c>
      <c r="G358" s="220" t="s">
        <v>1369</v>
      </c>
      <c r="H358" s="221" t="s">
        <v>1370</v>
      </c>
    </row>
    <row customHeight="true" ht="16.071428571428573" r="359">
      <c r="A359" s="220">
        <v>323</v>
      </c>
      <c r="B359" s="221" t="s">
        <v>1374</v>
      </c>
      <c r="C359" s="221" t="s">
        <v>1384</v>
      </c>
      <c r="D359" s="221" t="s">
        <v>1376</v>
      </c>
      <c r="E359" s="222">
        <v>41.9</v>
      </c>
      <c r="F359" s="223">
        <v>0.93</v>
      </c>
      <c r="G359" s="220" t="s">
        <v>1369</v>
      </c>
      <c r="H359" s="221" t="s">
        <v>1370</v>
      </c>
    </row>
    <row customHeight="true" ht="16.071428571428573" r="360">
      <c r="A360" s="220">
        <v>324</v>
      </c>
      <c r="B360" s="221" t="s">
        <v>1351</v>
      </c>
      <c r="C360" s="221" t="s">
        <v>1377</v>
      </c>
      <c r="D360" s="221" t="s">
        <v>1378</v>
      </c>
      <c r="E360" s="222">
        <v>43.9</v>
      </c>
      <c r="F360" s="223">
        <v>1.29</v>
      </c>
      <c r="G360" s="220" t="s">
        <v>1369</v>
      </c>
      <c r="H360" s="221" t="s">
        <v>1370</v>
      </c>
    </row>
    <row customHeight="true" ht="16.071428571428573" r="361">
      <c r="A361" s="220">
        <v>325</v>
      </c>
      <c r="B361" s="221" t="s">
        <v>1351</v>
      </c>
      <c r="C361" s="221" t="s">
        <v>1372</v>
      </c>
      <c r="D361" s="221" t="s">
        <v>1378</v>
      </c>
      <c r="E361" s="222">
        <v>36.8</v>
      </c>
      <c r="F361" s="223">
        <v>2.03</v>
      </c>
      <c r="G361" s="220" t="s">
        <v>1369</v>
      </c>
      <c r="H361" s="221" t="s">
        <v>1370</v>
      </c>
    </row>
    <row customHeight="true" ht="16.071428571428573" r="362">
      <c r="A362" s="220">
        <v>326</v>
      </c>
      <c r="B362" s="221" t="s">
        <v>1371</v>
      </c>
      <c r="C362" s="221" t="s">
        <v>1384</v>
      </c>
      <c r="D362" s="221" t="s">
        <v>1373</v>
      </c>
      <c r="E362" s="222">
        <v>43.5</v>
      </c>
      <c r="F362" s="223">
        <v>0.63</v>
      </c>
      <c r="G362" s="220" t="s">
        <v>1369</v>
      </c>
      <c r="H362" s="221" t="s">
        <v>1370</v>
      </c>
    </row>
    <row customHeight="true" ht="16.071428571428573" r="363">
      <c r="A363" s="220">
        <v>327</v>
      </c>
      <c r="B363" s="221" t="s">
        <v>1371</v>
      </c>
      <c r="C363" s="221" t="s">
        <v>1385</v>
      </c>
      <c r="D363" s="221" t="s">
        <v>1373</v>
      </c>
      <c r="E363" s="222">
        <v>43.2</v>
      </c>
      <c r="F363" s="223">
        <v>1.6</v>
      </c>
      <c r="G363" s="220" t="s">
        <v>1369</v>
      </c>
      <c r="H363" s="221" t="s">
        <v>1370</v>
      </c>
    </row>
    <row customHeight="true" ht="16.071428571428573" r="364">
      <c r="A364" s="220">
        <v>328</v>
      </c>
      <c r="B364" s="221" t="s">
        <v>1374</v>
      </c>
      <c r="C364" s="221" t="s">
        <v>1375</v>
      </c>
      <c r="D364" s="221" t="s">
        <v>1376</v>
      </c>
      <c r="E364" s="222">
        <v>41.8</v>
      </c>
      <c r="F364" s="223">
        <v>0.8</v>
      </c>
      <c r="G364" s="220" t="s">
        <v>1369</v>
      </c>
      <c r="H364" s="221" t="s">
        <v>1370</v>
      </c>
    </row>
    <row customHeight="true" ht="16.071428571428573" r="365">
      <c r="A365" s="220">
        <v>329</v>
      </c>
      <c r="B365" s="221" t="s">
        <v>1353</v>
      </c>
      <c r="C365" s="221" t="s">
        <v>1377</v>
      </c>
      <c r="D365" s="221" t="s">
        <v>1368</v>
      </c>
      <c r="E365" s="222">
        <v>44.4</v>
      </c>
      <c r="F365" s="223">
        <v>0.56</v>
      </c>
      <c r="G365" s="220" t="s">
        <v>1369</v>
      </c>
      <c r="H365" s="221" t="s">
        <v>1370</v>
      </c>
    </row>
    <row customHeight="true" ht="16.071428571428573" r="366">
      <c r="A366" s="220">
        <v>330</v>
      </c>
      <c r="B366" s="221" t="s">
        <v>1353</v>
      </c>
      <c r="C366" s="221" t="s">
        <v>1372</v>
      </c>
      <c r="D366" s="221" t="s">
        <v>1368</v>
      </c>
      <c r="E366" s="222">
        <v>39.8</v>
      </c>
      <c r="F366" s="223">
        <v>0.75</v>
      </c>
      <c r="G366" s="220" t="s">
        <v>1369</v>
      </c>
      <c r="H366" s="221" t="s">
        <v>1370</v>
      </c>
    </row>
    <row customHeight="true" ht="16.071428571428573" r="367">
      <c r="A367" s="220">
        <v>331</v>
      </c>
      <c r="B367" s="221" t="s">
        <v>1353</v>
      </c>
      <c r="C367" s="221" t="s">
        <v>1372</v>
      </c>
      <c r="D367" s="221" t="s">
        <v>1368</v>
      </c>
      <c r="E367" s="222">
        <v>44.3</v>
      </c>
      <c r="F367" s="223">
        <v>1.7</v>
      </c>
      <c r="G367" s="220" t="s">
        <v>1369</v>
      </c>
      <c r="H367" s="221" t="s">
        <v>1370</v>
      </c>
    </row>
    <row customHeight="true" ht="16.071428571428573" r="368">
      <c r="A368" s="220">
        <v>332</v>
      </c>
      <c r="B368" s="221" t="s">
        <v>1351</v>
      </c>
      <c r="C368" s="221" t="s">
        <v>1375</v>
      </c>
      <c r="D368" s="221" t="s">
        <v>1378</v>
      </c>
      <c r="E368" s="222">
        <v>42.7</v>
      </c>
      <c r="F368" s="223">
        <v>0.82</v>
      </c>
      <c r="G368" s="220" t="s">
        <v>1369</v>
      </c>
      <c r="H368" s="221" t="s">
        <v>1370</v>
      </c>
    </row>
    <row customHeight="true" ht="16.071428571428573" r="369">
      <c r="A369" s="220">
        <v>333</v>
      </c>
      <c r="B369" s="221" t="s">
        <v>1374</v>
      </c>
      <c r="C369" s="221" t="s">
        <v>1380</v>
      </c>
      <c r="D369" s="221" t="s">
        <v>1376</v>
      </c>
      <c r="E369" s="222">
        <v>37.5</v>
      </c>
      <c r="F369" s="223">
        <v>1.12</v>
      </c>
      <c r="G369" s="220" t="s">
        <v>1369</v>
      </c>
      <c r="H369" s="221" t="s">
        <v>1370</v>
      </c>
    </row>
    <row customHeight="true" ht="16.071428571428573" r="370">
      <c r="A370" s="220">
        <v>334</v>
      </c>
      <c r="B370" s="221" t="s">
        <v>1351</v>
      </c>
      <c r="C370" s="221" t="s">
        <v>1383</v>
      </c>
      <c r="D370" s="221" t="s">
        <v>1378</v>
      </c>
      <c r="E370" s="222">
        <v>39.9</v>
      </c>
      <c r="F370" s="223">
        <v>0.79</v>
      </c>
      <c r="G370" s="220" t="s">
        <v>1369</v>
      </c>
      <c r="H370" s="221" t="s">
        <v>1370</v>
      </c>
    </row>
    <row customHeight="true" ht="16.071428571428573" r="371">
      <c r="A371" s="220">
        <v>335</v>
      </c>
      <c r="B371" s="221" t="s">
        <v>1374</v>
      </c>
      <c r="C371" s="221" t="s">
        <v>1384</v>
      </c>
      <c r="D371" s="221" t="s">
        <v>1376</v>
      </c>
      <c r="E371" s="222">
        <v>41.5</v>
      </c>
      <c r="F371" s="223">
        <v>0.62</v>
      </c>
      <c r="G371" s="220" t="s">
        <v>1369</v>
      </c>
      <c r="H371" s="221" t="s">
        <v>1370</v>
      </c>
    </row>
    <row customHeight="true" ht="16.071428571428573" r="372">
      <c r="A372" s="220">
        <v>336</v>
      </c>
      <c r="B372" s="221" t="s">
        <v>1374</v>
      </c>
      <c r="C372" s="221" t="s">
        <v>1383</v>
      </c>
      <c r="D372" s="221" t="s">
        <v>1376</v>
      </c>
      <c r="E372" s="222">
        <v>45.3</v>
      </c>
      <c r="F372" s="223">
        <v>2.06</v>
      </c>
      <c r="G372" s="220" t="s">
        <v>1369</v>
      </c>
      <c r="H372" s="221" t="s">
        <v>1370</v>
      </c>
    </row>
    <row customHeight="true" ht="16.071428571428573" r="373">
      <c r="A373" s="220">
        <v>337</v>
      </c>
      <c r="B373" s="221" t="s">
        <v>1353</v>
      </c>
      <c r="C373" s="221" t="s">
        <v>1377</v>
      </c>
      <c r="D373" s="221" t="s">
        <v>1368</v>
      </c>
      <c r="E373" s="222">
        <v>38.6</v>
      </c>
      <c r="F373" s="223">
        <v>0.79</v>
      </c>
      <c r="G373" s="220" t="s">
        <v>1369</v>
      </c>
      <c r="H373" s="221" t="s">
        <v>1370</v>
      </c>
    </row>
    <row customHeight="true" ht="16.071428571428573" r="374">
      <c r="A374" s="220">
        <v>338</v>
      </c>
      <c r="B374" s="221" t="s">
        <v>1374</v>
      </c>
      <c r="C374" s="221" t="s">
        <v>1388</v>
      </c>
      <c r="D374" s="221" t="s">
        <v>1376</v>
      </c>
      <c r="E374" s="222">
        <v>42.6</v>
      </c>
      <c r="F374" s="223">
        <v>0.73</v>
      </c>
      <c r="G374" s="220" t="s">
        <v>1369</v>
      </c>
      <c r="H374" s="221" t="s">
        <v>1370</v>
      </c>
    </row>
    <row customHeight="true" ht="16.071428571428573" r="375">
      <c r="A375" s="220">
        <v>339</v>
      </c>
      <c r="B375" s="221" t="s">
        <v>1351</v>
      </c>
      <c r="C375" s="221" t="s">
        <v>1383</v>
      </c>
      <c r="D375" s="221" t="s">
        <v>1378</v>
      </c>
      <c r="E375" s="222">
        <v>53.6</v>
      </c>
      <c r="F375" s="223">
        <v>3.31</v>
      </c>
      <c r="G375" s="220" t="s">
        <v>1381</v>
      </c>
      <c r="H375" s="221" t="s">
        <v>1387</v>
      </c>
    </row>
    <row customHeight="true" ht="16.071428571428573" r="376">
      <c r="A376" s="220">
        <v>340</v>
      </c>
      <c r="B376" s="221" t="s">
        <v>1374</v>
      </c>
      <c r="C376" s="221" t="s">
        <v>1375</v>
      </c>
      <c r="D376" s="221" t="s">
        <v>1376</v>
      </c>
      <c r="E376" s="222">
        <v>40.1</v>
      </c>
      <c r="F376" s="223">
        <v>1.76</v>
      </c>
      <c r="G376" s="220" t="s">
        <v>1369</v>
      </c>
      <c r="H376" s="221" t="s">
        <v>1370</v>
      </c>
    </row>
    <row customHeight="true" ht="16.071428571428573" r="377">
      <c r="A377" s="220">
        <v>341</v>
      </c>
      <c r="B377" s="221" t="s">
        <v>1374</v>
      </c>
      <c r="C377" s="221" t="s">
        <v>1385</v>
      </c>
      <c r="D377" s="221" t="s">
        <v>1376</v>
      </c>
      <c r="E377" s="222">
        <v>36.3</v>
      </c>
      <c r="F377" s="223">
        <v>1.42</v>
      </c>
      <c r="G377" s="220" t="s">
        <v>1369</v>
      </c>
      <c r="H377" s="221" t="s">
        <v>1370</v>
      </c>
    </row>
    <row customHeight="true" ht="16.071428571428573" r="378">
      <c r="A378" s="220">
        <v>342</v>
      </c>
      <c r="B378" s="221" t="s">
        <v>1351</v>
      </c>
      <c r="C378" s="221" t="s">
        <v>1377</v>
      </c>
      <c r="D378" s="221" t="s">
        <v>1378</v>
      </c>
      <c r="E378" s="222">
        <v>41.9</v>
      </c>
      <c r="F378" s="223">
        <v>1.42</v>
      </c>
      <c r="G378" s="220" t="s">
        <v>1369</v>
      </c>
      <c r="H378" s="221" t="s">
        <v>1370</v>
      </c>
    </row>
    <row customHeight="true" ht="16.071428571428573" r="379">
      <c r="A379" s="220">
        <v>343</v>
      </c>
      <c r="B379" s="221" t="s">
        <v>1371</v>
      </c>
      <c r="C379" s="221" t="s">
        <v>1372</v>
      </c>
      <c r="D379" s="221" t="s">
        <v>1373</v>
      </c>
      <c r="E379" s="222">
        <v>37.3</v>
      </c>
      <c r="F379" s="223">
        <v>1.12</v>
      </c>
      <c r="G379" s="220" t="s">
        <v>1369</v>
      </c>
      <c r="H379" s="221" t="s">
        <v>1370</v>
      </c>
    </row>
    <row customHeight="true" ht="16.071428571428573" r="380">
      <c r="A380" s="220">
        <v>344</v>
      </c>
      <c r="B380" s="221" t="s">
        <v>1374</v>
      </c>
      <c r="C380" s="221" t="s">
        <v>1386</v>
      </c>
      <c r="D380" s="221" t="s">
        <v>1376</v>
      </c>
      <c r="E380" s="222">
        <v>40.3</v>
      </c>
      <c r="F380" s="223">
        <v>0.7</v>
      </c>
      <c r="G380" s="220" t="s">
        <v>1369</v>
      </c>
      <c r="H380" s="221" t="s">
        <v>1370</v>
      </c>
    </row>
    <row customHeight="true" ht="16.071428571428573" r="381">
      <c r="A381" s="220">
        <v>345</v>
      </c>
      <c r="B381" s="221" t="s">
        <v>1351</v>
      </c>
      <c r="C381" s="221" t="s">
        <v>1389</v>
      </c>
      <c r="D381" s="221" t="s">
        <v>1378</v>
      </c>
      <c r="E381" s="222">
        <v>43.4</v>
      </c>
      <c r="F381" s="223">
        <v>1.55</v>
      </c>
      <c r="G381" s="220" t="s">
        <v>1369</v>
      </c>
      <c r="H381" s="221" t="s">
        <v>1370</v>
      </c>
    </row>
    <row customHeight="true" ht="16.071428571428573" r="382">
      <c r="A382" s="220">
        <v>346</v>
      </c>
      <c r="B382" s="221" t="s">
        <v>1351</v>
      </c>
      <c r="C382" s="221" t="s">
        <v>1386</v>
      </c>
      <c r="D382" s="221" t="s">
        <v>1378</v>
      </c>
      <c r="E382" s="222">
        <v>45.1</v>
      </c>
      <c r="F382" s="223">
        <v>1.52</v>
      </c>
      <c r="G382" s="220" t="s">
        <v>1369</v>
      </c>
      <c r="H382" s="221" t="s">
        <v>1370</v>
      </c>
    </row>
    <row customHeight="true" ht="16.071428571428573" r="383">
      <c r="A383" s="220">
        <v>347</v>
      </c>
      <c r="B383" s="221" t="s">
        <v>1353</v>
      </c>
      <c r="C383" s="221" t="s">
        <v>1383</v>
      </c>
      <c r="D383" s="221" t="s">
        <v>1368</v>
      </c>
      <c r="E383" s="222">
        <v>45</v>
      </c>
      <c r="F383" s="223">
        <v>1.24</v>
      </c>
      <c r="G383" s="220" t="s">
        <v>1369</v>
      </c>
      <c r="H383" s="221" t="s">
        <v>1370</v>
      </c>
    </row>
    <row customHeight="true" ht="16.071428571428573" r="384">
      <c r="A384" s="220">
        <v>348</v>
      </c>
      <c r="B384" s="221" t="s">
        <v>1351</v>
      </c>
      <c r="C384" s="221" t="s">
        <v>1367</v>
      </c>
      <c r="D384" s="221" t="s">
        <v>1378</v>
      </c>
      <c r="E384" s="222">
        <v>36.6</v>
      </c>
      <c r="F384" s="223">
        <v>2.05</v>
      </c>
      <c r="G384" s="220" t="s">
        <v>1369</v>
      </c>
      <c r="H384" s="221" t="s">
        <v>1370</v>
      </c>
    </row>
    <row customHeight="true" ht="16.071428571428573" r="385">
      <c r="A385" s="220">
        <v>349</v>
      </c>
      <c r="B385" s="221" t="s">
        <v>1351</v>
      </c>
      <c r="C385" s="221" t="s">
        <v>1388</v>
      </c>
      <c r="D385" s="221" t="s">
        <v>1378</v>
      </c>
      <c r="E385" s="222">
        <v>42</v>
      </c>
      <c r="F385" s="223">
        <v>0.54</v>
      </c>
      <c r="G385" s="220" t="s">
        <v>1369</v>
      </c>
      <c r="H385" s="221" t="s">
        <v>1370</v>
      </c>
    </row>
    <row customHeight="true" ht="16.071428571428573" r="386">
      <c r="A386" s="220">
        <v>350</v>
      </c>
      <c r="B386" s="221" t="s">
        <v>1351</v>
      </c>
      <c r="C386" s="221" t="s">
        <v>1367</v>
      </c>
      <c r="D386" s="221" t="s">
        <v>1378</v>
      </c>
      <c r="E386" s="222">
        <v>38.1</v>
      </c>
      <c r="F386" s="223">
        <v>1.36</v>
      </c>
      <c r="G386" s="220" t="s">
        <v>1369</v>
      </c>
      <c r="H386" s="221" t="s">
        <v>1370</v>
      </c>
    </row>
    <row customHeight="true" ht="16.071428571428573" r="387">
      <c r="A387" s="220">
        <v>351</v>
      </c>
      <c r="B387" s="221" t="s">
        <v>1374</v>
      </c>
      <c r="C387" s="221" t="s">
        <v>1385</v>
      </c>
      <c r="D387" s="221" t="s">
        <v>1376</v>
      </c>
      <c r="E387" s="222">
        <v>39.1</v>
      </c>
      <c r="F387" s="223">
        <v>0.85</v>
      </c>
      <c r="G387" s="220" t="s">
        <v>1369</v>
      </c>
      <c r="H387" s="221" t="s">
        <v>1370</v>
      </c>
    </row>
    <row customHeight="true" ht="16.071428571428573" r="388">
      <c r="A388" s="220">
        <v>352</v>
      </c>
      <c r="B388" s="221" t="s">
        <v>1374</v>
      </c>
      <c r="C388" s="221" t="s">
        <v>1385</v>
      </c>
      <c r="D388" s="221" t="s">
        <v>1376</v>
      </c>
      <c r="E388" s="222">
        <v>40</v>
      </c>
      <c r="F388" s="223">
        <v>1.96</v>
      </c>
      <c r="G388" s="220" t="s">
        <v>1369</v>
      </c>
      <c r="H388" s="221" t="s">
        <v>1370</v>
      </c>
    </row>
    <row customHeight="true" ht="16.071428571428573" r="389">
      <c r="A389" s="220">
        <v>353</v>
      </c>
      <c r="B389" s="221" t="s">
        <v>1371</v>
      </c>
      <c r="C389" s="221" t="s">
        <v>1380</v>
      </c>
      <c r="D389" s="221" t="s">
        <v>1373</v>
      </c>
      <c r="E389" s="222">
        <v>38.3</v>
      </c>
      <c r="F389" s="223">
        <v>0.69</v>
      </c>
      <c r="G389" s="220" t="s">
        <v>1369</v>
      </c>
      <c r="H389" s="221" t="s">
        <v>1370</v>
      </c>
    </row>
    <row customHeight="true" ht="16.071428571428573" r="390">
      <c r="A390" s="220">
        <v>354</v>
      </c>
      <c r="B390" s="221" t="s">
        <v>1351</v>
      </c>
      <c r="C390" s="221" t="s">
        <v>1375</v>
      </c>
      <c r="D390" s="221" t="s">
        <v>1378</v>
      </c>
      <c r="E390" s="222">
        <v>37.6</v>
      </c>
      <c r="F390" s="223">
        <v>0.78</v>
      </c>
      <c r="G390" s="220" t="s">
        <v>1369</v>
      </c>
      <c r="H390" s="221" t="s">
        <v>1370</v>
      </c>
    </row>
    <row customHeight="true" ht="16.071428571428573" r="391">
      <c r="A391" s="220">
        <v>355</v>
      </c>
      <c r="B391" s="221" t="s">
        <v>1374</v>
      </c>
      <c r="C391" s="221" t="s">
        <v>1367</v>
      </c>
      <c r="D391" s="221" t="s">
        <v>1376</v>
      </c>
      <c r="E391" s="222">
        <v>44.2</v>
      </c>
      <c r="F391" s="223">
        <v>1.81</v>
      </c>
      <c r="G391" s="220" t="s">
        <v>1369</v>
      </c>
      <c r="H391" s="221" t="s">
        <v>1370</v>
      </c>
    </row>
    <row customHeight="true" ht="16.071428571428573" r="392">
      <c r="A392" s="220">
        <v>356</v>
      </c>
      <c r="B392" s="221" t="s">
        <v>1351</v>
      </c>
      <c r="C392" s="221" t="s">
        <v>1377</v>
      </c>
      <c r="D392" s="221" t="s">
        <v>1378</v>
      </c>
      <c r="E392" s="222">
        <v>41.6</v>
      </c>
      <c r="F392" s="223">
        <v>2.06</v>
      </c>
      <c r="G392" s="220" t="s">
        <v>1369</v>
      </c>
      <c r="H392" s="221" t="s">
        <v>1370</v>
      </c>
    </row>
    <row customHeight="true" ht="16.071428571428573" r="393">
      <c r="A393" s="220">
        <v>357</v>
      </c>
      <c r="B393" s="221" t="s">
        <v>1374</v>
      </c>
      <c r="C393" s="221" t="s">
        <v>1372</v>
      </c>
      <c r="D393" s="221" t="s">
        <v>1376</v>
      </c>
      <c r="E393" s="222">
        <v>41.7</v>
      </c>
      <c r="F393" s="223">
        <v>1.07</v>
      </c>
      <c r="G393" s="220" t="s">
        <v>1369</v>
      </c>
      <c r="H393" s="221" t="s">
        <v>1370</v>
      </c>
    </row>
    <row customHeight="true" ht="16.071428571428573" r="394">
      <c r="A394" s="220">
        <v>358</v>
      </c>
      <c r="B394" s="221" t="s">
        <v>1353</v>
      </c>
      <c r="C394" s="221" t="s">
        <v>1385</v>
      </c>
      <c r="D394" s="221" t="s">
        <v>1368</v>
      </c>
      <c r="E394" s="222">
        <v>37.4</v>
      </c>
      <c r="F394" s="223">
        <v>0.54</v>
      </c>
      <c r="G394" s="220" t="s">
        <v>1369</v>
      </c>
      <c r="H394" s="221" t="s">
        <v>1370</v>
      </c>
    </row>
    <row customHeight="true" ht="16.071428571428573" r="395">
      <c r="A395" s="220">
        <v>359</v>
      </c>
      <c r="B395" s="221" t="s">
        <v>1351</v>
      </c>
      <c r="C395" s="221" t="s">
        <v>1379</v>
      </c>
      <c r="D395" s="221" t="s">
        <v>1378</v>
      </c>
      <c r="E395" s="222">
        <v>36.6</v>
      </c>
      <c r="F395" s="223">
        <v>1.25</v>
      </c>
      <c r="G395" s="220" t="s">
        <v>1369</v>
      </c>
      <c r="H395" s="221" t="s">
        <v>1370</v>
      </c>
    </row>
    <row customHeight="true" ht="16.071428571428573" r="396">
      <c r="A396" s="220">
        <v>360</v>
      </c>
      <c r="B396" s="221" t="s">
        <v>1351</v>
      </c>
      <c r="C396" s="221" t="s">
        <v>1384</v>
      </c>
      <c r="D396" s="221" t="s">
        <v>1378</v>
      </c>
      <c r="E396" s="222">
        <v>41.3</v>
      </c>
      <c r="F396" s="223">
        <v>0.55</v>
      </c>
      <c r="G396" s="220" t="s">
        <v>1369</v>
      </c>
      <c r="H396" s="221" t="s">
        <v>1370</v>
      </c>
    </row>
    <row customHeight="true" ht="16.071428571428573" r="397">
      <c r="A397" s="220">
        <v>361</v>
      </c>
      <c r="B397" s="221" t="s">
        <v>1374</v>
      </c>
      <c r="C397" s="221" t="s">
        <v>1367</v>
      </c>
      <c r="D397" s="221" t="s">
        <v>1376</v>
      </c>
      <c r="E397" s="222">
        <v>52.3</v>
      </c>
      <c r="F397" s="223">
        <v>3.77</v>
      </c>
      <c r="G397" s="220" t="s">
        <v>1381</v>
      </c>
      <c r="H397" s="221" t="s">
        <v>1387</v>
      </c>
    </row>
    <row customHeight="true" ht="16.071428571428573" r="398">
      <c r="A398" s="220">
        <v>362</v>
      </c>
      <c r="B398" s="221" t="s">
        <v>1351</v>
      </c>
      <c r="C398" s="221" t="s">
        <v>1379</v>
      </c>
      <c r="D398" s="221" t="s">
        <v>1378</v>
      </c>
      <c r="E398" s="222">
        <v>45.2</v>
      </c>
      <c r="F398" s="223">
        <v>1.7</v>
      </c>
      <c r="G398" s="220" t="s">
        <v>1369</v>
      </c>
      <c r="H398" s="221" t="s">
        <v>1370</v>
      </c>
    </row>
    <row customHeight="true" ht="16.071428571428573" r="399">
      <c r="A399" s="220">
        <v>363</v>
      </c>
      <c r="B399" s="221" t="s">
        <v>1371</v>
      </c>
      <c r="C399" s="221" t="s">
        <v>1388</v>
      </c>
      <c r="D399" s="221" t="s">
        <v>1373</v>
      </c>
      <c r="E399" s="222">
        <v>45.4</v>
      </c>
      <c r="F399" s="223">
        <v>2.06</v>
      </c>
      <c r="G399" s="220" t="s">
        <v>1369</v>
      </c>
      <c r="H399" s="221" t="s">
        <v>1370</v>
      </c>
    </row>
    <row customHeight="true" ht="16.071428571428573" r="400">
      <c r="A400" s="220">
        <v>364</v>
      </c>
      <c r="B400" s="221" t="s">
        <v>1374</v>
      </c>
      <c r="C400" s="221" t="s">
        <v>1383</v>
      </c>
      <c r="D400" s="221" t="s">
        <v>1376</v>
      </c>
      <c r="E400" s="222">
        <v>44.5</v>
      </c>
      <c r="F400" s="223">
        <v>1.06</v>
      </c>
      <c r="G400" s="220" t="s">
        <v>1369</v>
      </c>
      <c r="H400" s="221" t="s">
        <v>1370</v>
      </c>
    </row>
    <row customHeight="true" ht="16.071428571428573" r="401">
      <c r="A401" s="220">
        <v>365</v>
      </c>
      <c r="B401" s="221" t="s">
        <v>1351</v>
      </c>
      <c r="C401" s="221" t="s">
        <v>1375</v>
      </c>
      <c r="D401" s="221" t="s">
        <v>1378</v>
      </c>
      <c r="E401" s="222">
        <v>37.6</v>
      </c>
      <c r="F401" s="223">
        <v>1.56</v>
      </c>
      <c r="G401" s="220" t="s">
        <v>1369</v>
      </c>
      <c r="H401" s="221" t="s">
        <v>1370</v>
      </c>
    </row>
    <row customHeight="true" ht="16.071428571428573" r="402">
      <c r="A402" s="220">
        <v>366</v>
      </c>
      <c r="B402" s="221" t="s">
        <v>1371</v>
      </c>
      <c r="C402" s="221" t="s">
        <v>1386</v>
      </c>
      <c r="D402" s="221" t="s">
        <v>1373</v>
      </c>
      <c r="E402" s="222">
        <v>40.3</v>
      </c>
      <c r="F402" s="223">
        <v>1.99</v>
      </c>
      <c r="G402" s="220" t="s">
        <v>1369</v>
      </c>
      <c r="H402" s="221" t="s">
        <v>1370</v>
      </c>
    </row>
    <row customHeight="true" ht="16.071428571428573" r="403">
      <c r="A403" s="220">
        <v>367</v>
      </c>
      <c r="B403" s="221" t="s">
        <v>1374</v>
      </c>
      <c r="C403" s="221" t="s">
        <v>1389</v>
      </c>
      <c r="D403" s="221" t="s">
        <v>1376</v>
      </c>
      <c r="E403" s="222">
        <v>41.1</v>
      </c>
      <c r="F403" s="223">
        <v>1.08</v>
      </c>
      <c r="G403" s="220" t="s">
        <v>1369</v>
      </c>
      <c r="H403" s="221" t="s">
        <v>1370</v>
      </c>
    </row>
    <row customHeight="true" ht="16.071428571428573" r="404">
      <c r="A404" s="220">
        <v>368</v>
      </c>
      <c r="B404" s="221" t="s">
        <v>1353</v>
      </c>
      <c r="C404" s="221" t="s">
        <v>1389</v>
      </c>
      <c r="D404" s="221" t="s">
        <v>1368</v>
      </c>
      <c r="E404" s="222">
        <v>36.4</v>
      </c>
      <c r="F404" s="223">
        <v>0.98</v>
      </c>
      <c r="G404" s="220" t="s">
        <v>1369</v>
      </c>
      <c r="H404" s="221" t="s">
        <v>1370</v>
      </c>
    </row>
    <row customHeight="true" ht="16.071428571428573" r="405">
      <c r="A405" s="220">
        <v>369</v>
      </c>
      <c r="B405" s="221" t="s">
        <v>1371</v>
      </c>
      <c r="C405" s="221" t="s">
        <v>1385</v>
      </c>
      <c r="D405" s="221" t="s">
        <v>1373</v>
      </c>
      <c r="E405" s="222">
        <v>42.4</v>
      </c>
      <c r="F405" s="223">
        <v>1.68</v>
      </c>
      <c r="G405" s="220" t="s">
        <v>1369</v>
      </c>
      <c r="H405" s="221" t="s">
        <v>1370</v>
      </c>
    </row>
    <row customHeight="true" ht="16.071428571428573" r="406">
      <c r="A406" s="220">
        <v>370</v>
      </c>
      <c r="B406" s="221" t="s">
        <v>1353</v>
      </c>
      <c r="C406" s="221" t="s">
        <v>1383</v>
      </c>
      <c r="D406" s="221" t="s">
        <v>1368</v>
      </c>
      <c r="E406" s="222">
        <v>42.5</v>
      </c>
      <c r="F406" s="223">
        <v>1.69</v>
      </c>
      <c r="G406" s="220" t="s">
        <v>1369</v>
      </c>
      <c r="H406" s="221" t="s">
        <v>1370</v>
      </c>
    </row>
    <row customHeight="true" ht="16.071428571428573" r="407">
      <c r="A407" s="220">
        <v>371</v>
      </c>
      <c r="B407" s="221" t="s">
        <v>1353</v>
      </c>
      <c r="C407" s="221" t="s">
        <v>1372</v>
      </c>
      <c r="D407" s="221" t="s">
        <v>1368</v>
      </c>
      <c r="E407" s="222">
        <v>40.5</v>
      </c>
      <c r="F407" s="223">
        <v>1.39</v>
      </c>
      <c r="G407" s="220" t="s">
        <v>1369</v>
      </c>
      <c r="H407" s="221" t="s">
        <v>1370</v>
      </c>
    </row>
    <row customHeight="true" ht="16.071428571428573" r="408">
      <c r="A408" s="220">
        <v>372</v>
      </c>
      <c r="B408" s="221" t="s">
        <v>1353</v>
      </c>
      <c r="C408" s="221" t="s">
        <v>1367</v>
      </c>
      <c r="D408" s="221" t="s">
        <v>1368</v>
      </c>
      <c r="E408" s="222">
        <v>37.3</v>
      </c>
      <c r="F408" s="223">
        <v>0.84</v>
      </c>
      <c r="G408" s="220" t="s">
        <v>1369</v>
      </c>
      <c r="H408" s="221" t="s">
        <v>1370</v>
      </c>
    </row>
    <row customHeight="true" ht="16.071428571428573" r="409">
      <c r="A409" s="220">
        <v>373</v>
      </c>
      <c r="B409" s="221" t="s">
        <v>1371</v>
      </c>
      <c r="C409" s="221" t="s">
        <v>1385</v>
      </c>
      <c r="D409" s="221" t="s">
        <v>1373</v>
      </c>
      <c r="E409" s="222">
        <v>37.2</v>
      </c>
      <c r="F409" s="223">
        <v>1.1</v>
      </c>
      <c r="G409" s="220" t="s">
        <v>1369</v>
      </c>
      <c r="H409" s="221" t="s">
        <v>1370</v>
      </c>
    </row>
    <row customHeight="true" ht="16.071428571428573" r="410">
      <c r="A410" s="220">
        <v>374</v>
      </c>
      <c r="B410" s="221" t="s">
        <v>1353</v>
      </c>
      <c r="C410" s="221" t="s">
        <v>1367</v>
      </c>
      <c r="D410" s="221" t="s">
        <v>1368</v>
      </c>
      <c r="E410" s="222">
        <v>39</v>
      </c>
      <c r="F410" s="223">
        <v>1.16</v>
      </c>
      <c r="G410" s="220" t="s">
        <v>1369</v>
      </c>
      <c r="H410" s="221" t="s">
        <v>1370</v>
      </c>
    </row>
    <row customHeight="true" ht="16.071428571428573" r="411">
      <c r="A411" s="220">
        <v>375</v>
      </c>
      <c r="B411" s="221" t="s">
        <v>1353</v>
      </c>
      <c r="C411" s="221" t="s">
        <v>1389</v>
      </c>
      <c r="D411" s="221" t="s">
        <v>1368</v>
      </c>
      <c r="E411" s="222">
        <v>38.8</v>
      </c>
      <c r="F411" s="223">
        <v>0.7</v>
      </c>
      <c r="G411" s="220" t="s">
        <v>1369</v>
      </c>
      <c r="H411" s="221" t="s">
        <v>1370</v>
      </c>
    </row>
    <row customHeight="true" ht="16.071428571428573" r="412">
      <c r="A412" s="220">
        <v>376</v>
      </c>
      <c r="B412" s="221" t="s">
        <v>1353</v>
      </c>
      <c r="C412" s="221" t="s">
        <v>1383</v>
      </c>
      <c r="D412" s="221" t="s">
        <v>1368</v>
      </c>
      <c r="E412" s="222">
        <v>38.8</v>
      </c>
      <c r="F412" s="223">
        <v>1.6</v>
      </c>
      <c r="G412" s="220" t="s">
        <v>1369</v>
      </c>
      <c r="H412" s="221" t="s">
        <v>1370</v>
      </c>
    </row>
    <row customHeight="true" ht="16.071428571428573" r="413">
      <c r="A413" s="220">
        <v>377</v>
      </c>
      <c r="B413" s="221" t="s">
        <v>1374</v>
      </c>
      <c r="C413" s="221" t="s">
        <v>1388</v>
      </c>
      <c r="D413" s="221" t="s">
        <v>1376</v>
      </c>
      <c r="E413" s="222">
        <v>44.5</v>
      </c>
      <c r="F413" s="223">
        <v>1.43</v>
      </c>
      <c r="G413" s="220" t="s">
        <v>1369</v>
      </c>
      <c r="H413" s="221" t="s">
        <v>1370</v>
      </c>
    </row>
    <row customHeight="true" ht="16.071428571428573" r="414">
      <c r="A414" s="220">
        <v>378</v>
      </c>
      <c r="B414" s="221" t="s">
        <v>1353</v>
      </c>
      <c r="C414" s="221" t="s">
        <v>1377</v>
      </c>
      <c r="D414" s="221" t="s">
        <v>1368</v>
      </c>
      <c r="E414" s="222">
        <v>42.6</v>
      </c>
      <c r="F414" s="223">
        <v>1.8</v>
      </c>
      <c r="G414" s="220" t="s">
        <v>1369</v>
      </c>
      <c r="H414" s="221" t="s">
        <v>1370</v>
      </c>
    </row>
    <row customHeight="true" ht="16.071428571428573" r="415">
      <c r="A415" s="220">
        <v>379</v>
      </c>
      <c r="B415" s="221" t="s">
        <v>1351</v>
      </c>
      <c r="C415" s="221" t="s">
        <v>1367</v>
      </c>
      <c r="D415" s="221" t="s">
        <v>1378</v>
      </c>
      <c r="E415" s="222">
        <v>36.3</v>
      </c>
      <c r="F415" s="223">
        <v>1.19</v>
      </c>
      <c r="G415" s="220" t="s">
        <v>1369</v>
      </c>
      <c r="H415" s="221" t="s">
        <v>1370</v>
      </c>
    </row>
    <row customHeight="true" ht="16.071428571428573" r="416">
      <c r="A416" s="220">
        <v>380</v>
      </c>
      <c r="B416" s="221" t="s">
        <v>1374</v>
      </c>
      <c r="C416" s="221" t="s">
        <v>1386</v>
      </c>
      <c r="D416" s="221" t="s">
        <v>1376</v>
      </c>
      <c r="E416" s="222">
        <v>41.3</v>
      </c>
      <c r="F416" s="223">
        <v>1.65</v>
      </c>
      <c r="G416" s="220" t="s">
        <v>1369</v>
      </c>
      <c r="H416" s="221" t="s">
        <v>1370</v>
      </c>
    </row>
    <row customHeight="true" ht="16.071428571428573" r="417">
      <c r="A417" s="220">
        <v>381</v>
      </c>
      <c r="B417" s="221" t="s">
        <v>1353</v>
      </c>
      <c r="C417" s="221" t="s">
        <v>1367</v>
      </c>
      <c r="D417" s="221" t="s">
        <v>1368</v>
      </c>
      <c r="E417" s="222">
        <v>39.8</v>
      </c>
      <c r="F417" s="223">
        <v>1.08</v>
      </c>
      <c r="G417" s="220" t="s">
        <v>1369</v>
      </c>
      <c r="H417" s="221" t="s">
        <v>1370</v>
      </c>
    </row>
    <row customHeight="true" ht="16.071428571428573" r="418">
      <c r="A418" s="220">
        <v>382</v>
      </c>
      <c r="B418" s="221" t="s">
        <v>1353</v>
      </c>
      <c r="C418" s="221" t="s">
        <v>1383</v>
      </c>
      <c r="D418" s="221" t="s">
        <v>1368</v>
      </c>
      <c r="E418" s="222">
        <v>44.5</v>
      </c>
      <c r="F418" s="223">
        <v>1.01</v>
      </c>
      <c r="G418" s="220" t="s">
        <v>1369</v>
      </c>
      <c r="H418" s="221" t="s">
        <v>1370</v>
      </c>
    </row>
    <row customHeight="true" ht="16.071428571428573" r="419">
      <c r="A419" s="220">
        <v>383</v>
      </c>
      <c r="B419" s="221" t="s">
        <v>1374</v>
      </c>
      <c r="C419" s="221" t="s">
        <v>1388</v>
      </c>
      <c r="D419" s="221" t="s">
        <v>1376</v>
      </c>
      <c r="E419" s="222">
        <v>42.2</v>
      </c>
      <c r="F419" s="223">
        <v>1.41</v>
      </c>
      <c r="G419" s="220" t="s">
        <v>1369</v>
      </c>
      <c r="H419" s="221" t="s">
        <v>1370</v>
      </c>
    </row>
    <row customHeight="true" ht="16.071428571428573" r="420">
      <c r="A420" s="220">
        <v>384</v>
      </c>
      <c r="B420" s="221" t="s">
        <v>1351</v>
      </c>
      <c r="C420" s="221" t="s">
        <v>1379</v>
      </c>
      <c r="D420" s="221" t="s">
        <v>1378</v>
      </c>
      <c r="E420" s="222">
        <v>45.7</v>
      </c>
      <c r="F420" s="223">
        <v>0.53</v>
      </c>
      <c r="G420" s="220" t="s">
        <v>1369</v>
      </c>
      <c r="H420" s="221" t="s">
        <v>1370</v>
      </c>
    </row>
    <row customHeight="true" ht="16.071428571428573" r="421">
      <c r="A421" s="220">
        <v>385</v>
      </c>
      <c r="B421" s="221" t="s">
        <v>1351</v>
      </c>
      <c r="C421" s="221" t="s">
        <v>1383</v>
      </c>
      <c r="D421" s="221" t="s">
        <v>1378</v>
      </c>
      <c r="E421" s="222">
        <v>40.8</v>
      </c>
      <c r="F421" s="223">
        <v>0.68</v>
      </c>
      <c r="G421" s="220" t="s">
        <v>1369</v>
      </c>
      <c r="H421" s="221" t="s">
        <v>1370</v>
      </c>
    </row>
    <row customHeight="true" ht="16.071428571428573" r="422">
      <c r="A422" s="220">
        <v>386</v>
      </c>
      <c r="B422" s="221" t="s">
        <v>1351</v>
      </c>
      <c r="C422" s="221" t="s">
        <v>1385</v>
      </c>
      <c r="D422" s="221" t="s">
        <v>1378</v>
      </c>
      <c r="E422" s="222">
        <v>39.3</v>
      </c>
      <c r="F422" s="223">
        <v>1.78</v>
      </c>
      <c r="G422" s="220" t="s">
        <v>1369</v>
      </c>
      <c r="H422" s="221" t="s">
        <v>1370</v>
      </c>
    </row>
    <row customHeight="true" ht="16.071428571428573" r="423">
      <c r="A423" s="220">
        <v>387</v>
      </c>
      <c r="B423" s="221" t="s">
        <v>1374</v>
      </c>
      <c r="C423" s="221" t="s">
        <v>1367</v>
      </c>
      <c r="D423" s="221" t="s">
        <v>1376</v>
      </c>
      <c r="E423" s="222">
        <v>38</v>
      </c>
      <c r="F423" s="223">
        <v>0.66</v>
      </c>
      <c r="G423" s="220" t="s">
        <v>1369</v>
      </c>
      <c r="H423" s="221" t="s">
        <v>1370</v>
      </c>
    </row>
    <row customHeight="true" ht="16.071428571428573" r="424">
      <c r="A424" s="220">
        <v>388</v>
      </c>
      <c r="B424" s="221" t="s">
        <v>1374</v>
      </c>
      <c r="C424" s="221" t="s">
        <v>1377</v>
      </c>
      <c r="D424" s="221" t="s">
        <v>1376</v>
      </c>
      <c r="E424" s="222">
        <v>37.8</v>
      </c>
      <c r="F424" s="223">
        <v>0.94</v>
      </c>
      <c r="G424" s="220" t="s">
        <v>1369</v>
      </c>
      <c r="H424" s="221" t="s">
        <v>1370</v>
      </c>
    </row>
    <row customHeight="true" ht="16.071428571428573" r="425">
      <c r="A425" s="220">
        <v>389</v>
      </c>
      <c r="B425" s="221" t="s">
        <v>1374</v>
      </c>
      <c r="C425" s="221" t="s">
        <v>1379</v>
      </c>
      <c r="D425" s="221" t="s">
        <v>1376</v>
      </c>
      <c r="E425" s="222">
        <v>36.3</v>
      </c>
      <c r="F425" s="223">
        <v>1.52</v>
      </c>
      <c r="G425" s="220" t="s">
        <v>1369</v>
      </c>
      <c r="H425" s="221" t="s">
        <v>1370</v>
      </c>
    </row>
    <row customHeight="true" ht="16.071428571428573" r="426">
      <c r="A426" s="220">
        <v>390</v>
      </c>
      <c r="B426" s="221" t="s">
        <v>1371</v>
      </c>
      <c r="C426" s="221" t="s">
        <v>1379</v>
      </c>
      <c r="D426" s="221" t="s">
        <v>1373</v>
      </c>
      <c r="E426" s="222">
        <v>37</v>
      </c>
      <c r="F426" s="223">
        <v>0.78</v>
      </c>
      <c r="G426" s="220" t="s">
        <v>1369</v>
      </c>
      <c r="H426" s="221" t="s">
        <v>1370</v>
      </c>
    </row>
    <row customHeight="true" ht="16.071428571428573" r="427">
      <c r="A427" s="220">
        <v>391</v>
      </c>
      <c r="B427" s="221" t="s">
        <v>1374</v>
      </c>
      <c r="C427" s="221" t="s">
        <v>1372</v>
      </c>
      <c r="D427" s="221" t="s">
        <v>1376</v>
      </c>
      <c r="E427" s="222">
        <v>40.4</v>
      </c>
      <c r="F427" s="223">
        <v>1.92</v>
      </c>
      <c r="G427" s="220" t="s">
        <v>1369</v>
      </c>
      <c r="H427" s="221" t="s">
        <v>1370</v>
      </c>
    </row>
    <row customHeight="true" ht="16.071428571428573" r="428">
      <c r="A428" s="220">
        <v>392</v>
      </c>
      <c r="B428" s="221" t="s">
        <v>1353</v>
      </c>
      <c r="C428" s="221" t="s">
        <v>1385</v>
      </c>
      <c r="D428" s="221" t="s">
        <v>1368</v>
      </c>
      <c r="E428" s="222">
        <v>37.2</v>
      </c>
      <c r="F428" s="223">
        <v>1.68</v>
      </c>
      <c r="G428" s="220" t="s">
        <v>1369</v>
      </c>
      <c r="H428" s="221" t="s">
        <v>1370</v>
      </c>
    </row>
    <row customHeight="true" ht="16.071428571428573" r="429">
      <c r="A429" s="220">
        <v>393</v>
      </c>
      <c r="B429" s="221" t="s">
        <v>1374</v>
      </c>
      <c r="C429" s="221" t="s">
        <v>1383</v>
      </c>
      <c r="D429" s="221" t="s">
        <v>1376</v>
      </c>
      <c r="E429" s="222">
        <v>41.6</v>
      </c>
      <c r="F429" s="223">
        <v>1.64</v>
      </c>
      <c r="G429" s="220" t="s">
        <v>1369</v>
      </c>
      <c r="H429" s="221" t="s">
        <v>1370</v>
      </c>
    </row>
    <row customHeight="true" ht="16.071428571428573" r="430">
      <c r="A430" s="220">
        <v>394</v>
      </c>
      <c r="B430" s="221" t="s">
        <v>1374</v>
      </c>
      <c r="C430" s="221" t="s">
        <v>1380</v>
      </c>
      <c r="D430" s="221" t="s">
        <v>1376</v>
      </c>
      <c r="E430" s="222">
        <v>39.6</v>
      </c>
      <c r="F430" s="223">
        <v>1.14</v>
      </c>
      <c r="G430" s="220" t="s">
        <v>1369</v>
      </c>
      <c r="H430" s="221" t="s">
        <v>1370</v>
      </c>
    </row>
    <row customHeight="true" ht="16.071428571428573" r="431">
      <c r="A431" s="220">
        <v>395</v>
      </c>
      <c r="B431" s="221" t="s">
        <v>1351</v>
      </c>
      <c r="C431" s="221" t="s">
        <v>1372</v>
      </c>
      <c r="D431" s="221" t="s">
        <v>1378</v>
      </c>
      <c r="E431" s="222">
        <v>37.1</v>
      </c>
      <c r="F431" s="223">
        <v>0.6</v>
      </c>
      <c r="G431" s="220" t="s">
        <v>1369</v>
      </c>
      <c r="H431" s="221" t="s">
        <v>1370</v>
      </c>
    </row>
    <row customHeight="true" ht="16.071428571428573" r="432">
      <c r="A432" s="220">
        <v>396</v>
      </c>
      <c r="B432" s="221" t="s">
        <v>1351</v>
      </c>
      <c r="C432" s="221" t="s">
        <v>1380</v>
      </c>
      <c r="D432" s="221" t="s">
        <v>1378</v>
      </c>
      <c r="E432" s="222">
        <v>40.5</v>
      </c>
      <c r="F432" s="223">
        <v>2.09</v>
      </c>
      <c r="G432" s="220" t="s">
        <v>1369</v>
      </c>
      <c r="H432" s="221" t="s">
        <v>1370</v>
      </c>
    </row>
    <row customHeight="true" ht="16.071428571428573" r="433">
      <c r="A433" s="220">
        <v>397</v>
      </c>
      <c r="B433" s="221" t="s">
        <v>1351</v>
      </c>
      <c r="C433" s="221" t="s">
        <v>1367</v>
      </c>
      <c r="D433" s="221" t="s">
        <v>1378</v>
      </c>
      <c r="E433" s="222">
        <v>36.9</v>
      </c>
      <c r="F433" s="223">
        <v>1.19</v>
      </c>
      <c r="G433" s="220" t="s">
        <v>1369</v>
      </c>
      <c r="H433" s="221" t="s">
        <v>1370</v>
      </c>
    </row>
    <row customHeight="true" ht="16.071428571428573" r="434">
      <c r="A434" s="220">
        <v>398</v>
      </c>
      <c r="B434" s="221" t="s">
        <v>1353</v>
      </c>
      <c r="C434" s="221" t="s">
        <v>1367</v>
      </c>
      <c r="D434" s="221" t="s">
        <v>1368</v>
      </c>
      <c r="E434" s="222">
        <v>42.2</v>
      </c>
      <c r="F434" s="223">
        <v>1.15</v>
      </c>
      <c r="G434" s="220" t="s">
        <v>1369</v>
      </c>
      <c r="H434" s="221" t="s">
        <v>1370</v>
      </c>
    </row>
    <row customHeight="true" ht="16.071428571428573" r="435">
      <c r="A435" s="220">
        <v>399</v>
      </c>
      <c r="B435" s="221" t="s">
        <v>1374</v>
      </c>
      <c r="C435" s="221" t="s">
        <v>1380</v>
      </c>
      <c r="D435" s="221" t="s">
        <v>1376</v>
      </c>
      <c r="E435" s="222">
        <v>41.6</v>
      </c>
      <c r="F435" s="223">
        <v>0.97</v>
      </c>
      <c r="G435" s="220" t="s">
        <v>1369</v>
      </c>
      <c r="H435" s="221" t="s">
        <v>1370</v>
      </c>
    </row>
    <row customHeight="true" ht="16.071428571428573" r="436">
      <c r="A436" s="220">
        <v>400</v>
      </c>
      <c r="B436" s="221" t="s">
        <v>1374</v>
      </c>
      <c r="C436" s="221" t="s">
        <v>1380</v>
      </c>
      <c r="D436" s="221" t="s">
        <v>1376</v>
      </c>
      <c r="E436" s="222">
        <v>38.8</v>
      </c>
      <c r="F436" s="223">
        <v>0.89</v>
      </c>
      <c r="G436" s="220" t="s">
        <v>1369</v>
      </c>
      <c r="H436" s="221" t="s">
        <v>1370</v>
      </c>
    </row>
    <row customHeight="true" ht="16.071428571428573" r="437">
      <c r="A437" s="220">
        <v>401</v>
      </c>
      <c r="B437" s="221" t="s">
        <v>1351</v>
      </c>
      <c r="C437" s="221" t="s">
        <v>1380</v>
      </c>
      <c r="D437" s="221" t="s">
        <v>1378</v>
      </c>
      <c r="E437" s="222">
        <v>43.7</v>
      </c>
      <c r="F437" s="223">
        <v>1.59</v>
      </c>
      <c r="G437" s="220" t="s">
        <v>1369</v>
      </c>
      <c r="H437" s="221" t="s">
        <v>1370</v>
      </c>
    </row>
    <row customHeight="true" ht="16.071428571428573" r="438">
      <c r="A438" s="220">
        <v>402</v>
      </c>
      <c r="B438" s="221" t="s">
        <v>1374</v>
      </c>
      <c r="C438" s="221" t="s">
        <v>1383</v>
      </c>
      <c r="D438" s="221" t="s">
        <v>1376</v>
      </c>
      <c r="E438" s="222">
        <v>44.1</v>
      </c>
      <c r="F438" s="223">
        <v>1.58</v>
      </c>
      <c r="G438" s="220" t="s">
        <v>1369</v>
      </c>
      <c r="H438" s="221" t="s">
        <v>1370</v>
      </c>
    </row>
    <row customHeight="true" ht="16.071428571428573" r="439">
      <c r="A439" s="220">
        <v>403</v>
      </c>
      <c r="B439" s="221" t="s">
        <v>1351</v>
      </c>
      <c r="C439" s="221" t="s">
        <v>1379</v>
      </c>
      <c r="D439" s="221" t="s">
        <v>1378</v>
      </c>
      <c r="E439" s="222">
        <v>39.4</v>
      </c>
      <c r="F439" s="223">
        <v>0.6</v>
      </c>
      <c r="G439" s="220" t="s">
        <v>1369</v>
      </c>
      <c r="H439" s="221" t="s">
        <v>1370</v>
      </c>
    </row>
    <row customHeight="true" ht="16.071428571428573" r="440">
      <c r="A440" s="220">
        <v>404</v>
      </c>
      <c r="B440" s="221" t="s">
        <v>1353</v>
      </c>
      <c r="C440" s="221" t="s">
        <v>1388</v>
      </c>
      <c r="D440" s="221" t="s">
        <v>1368</v>
      </c>
      <c r="E440" s="222">
        <v>41.9</v>
      </c>
      <c r="F440" s="223">
        <v>1.02</v>
      </c>
      <c r="G440" s="220" t="s">
        <v>1369</v>
      </c>
      <c r="H440" s="221" t="s">
        <v>1370</v>
      </c>
    </row>
    <row customHeight="true" ht="16.071428571428573" r="441">
      <c r="A441" s="220">
        <v>405</v>
      </c>
      <c r="B441" s="221" t="s">
        <v>1353</v>
      </c>
      <c r="C441" s="221" t="s">
        <v>1388</v>
      </c>
      <c r="D441" s="221" t="s">
        <v>1368</v>
      </c>
      <c r="E441" s="222">
        <v>41.3</v>
      </c>
      <c r="F441" s="223">
        <v>1.49</v>
      </c>
      <c r="G441" s="220" t="s">
        <v>1369</v>
      </c>
      <c r="H441" s="221" t="s">
        <v>1370</v>
      </c>
    </row>
    <row customHeight="true" ht="16.071428571428573" r="442">
      <c r="A442" s="220">
        <v>406</v>
      </c>
      <c r="B442" s="221" t="s">
        <v>1374</v>
      </c>
      <c r="C442" s="221" t="s">
        <v>1372</v>
      </c>
      <c r="D442" s="221" t="s">
        <v>1376</v>
      </c>
      <c r="E442" s="222">
        <v>39.4</v>
      </c>
      <c r="F442" s="223">
        <v>1.96</v>
      </c>
      <c r="G442" s="220" t="s">
        <v>1369</v>
      </c>
      <c r="H442" s="221" t="s">
        <v>1370</v>
      </c>
    </row>
    <row customHeight="true" ht="16.071428571428573" r="443">
      <c r="A443" s="220">
        <v>407</v>
      </c>
      <c r="B443" s="221" t="s">
        <v>1374</v>
      </c>
      <c r="C443" s="221" t="s">
        <v>1375</v>
      </c>
      <c r="D443" s="221" t="s">
        <v>1376</v>
      </c>
      <c r="E443" s="222">
        <v>36.5</v>
      </c>
      <c r="F443" s="223">
        <v>1.37</v>
      </c>
      <c r="G443" s="220" t="s">
        <v>1369</v>
      </c>
      <c r="H443" s="221" t="s">
        <v>1370</v>
      </c>
    </row>
    <row customHeight="true" ht="16.071428571428573" r="444">
      <c r="A444" s="220">
        <v>408</v>
      </c>
      <c r="B444" s="221" t="s">
        <v>1351</v>
      </c>
      <c r="C444" s="221" t="s">
        <v>1377</v>
      </c>
      <c r="D444" s="221" t="s">
        <v>1378</v>
      </c>
      <c r="E444" s="222">
        <v>39.9</v>
      </c>
      <c r="F444" s="223">
        <v>1.23</v>
      </c>
      <c r="G444" s="220" t="s">
        <v>1369</v>
      </c>
      <c r="H444" s="221" t="s">
        <v>1370</v>
      </c>
    </row>
    <row customHeight="true" ht="16.071428571428573" r="445">
      <c r="A445" s="220">
        <v>409</v>
      </c>
      <c r="B445" s="221" t="s">
        <v>1374</v>
      </c>
      <c r="C445" s="221" t="s">
        <v>1380</v>
      </c>
      <c r="D445" s="221" t="s">
        <v>1376</v>
      </c>
      <c r="E445" s="222">
        <v>41</v>
      </c>
      <c r="F445" s="223">
        <v>0.97</v>
      </c>
      <c r="G445" s="220" t="s">
        <v>1369</v>
      </c>
      <c r="H445" s="221" t="s">
        <v>1370</v>
      </c>
    </row>
    <row customHeight="true" ht="16.071428571428573" r="446">
      <c r="A446" s="220">
        <v>410</v>
      </c>
      <c r="B446" s="221" t="s">
        <v>1371</v>
      </c>
      <c r="C446" s="221" t="s">
        <v>1386</v>
      </c>
      <c r="D446" s="221" t="s">
        <v>1373</v>
      </c>
      <c r="E446" s="222">
        <v>45.1</v>
      </c>
      <c r="F446" s="223">
        <v>0.67</v>
      </c>
      <c r="G446" s="220" t="s">
        <v>1369</v>
      </c>
      <c r="H446" s="221" t="s">
        <v>1370</v>
      </c>
    </row>
    <row customHeight="true" ht="16.071428571428573" r="447">
      <c r="A447" s="220">
        <v>411</v>
      </c>
      <c r="B447" s="221" t="s">
        <v>1351</v>
      </c>
      <c r="C447" s="221" t="s">
        <v>1367</v>
      </c>
      <c r="D447" s="221" t="s">
        <v>1378</v>
      </c>
      <c r="E447" s="222">
        <v>39.1</v>
      </c>
      <c r="F447" s="223">
        <v>0.99</v>
      </c>
      <c r="G447" s="220" t="s">
        <v>1369</v>
      </c>
      <c r="H447" s="221" t="s">
        <v>1370</v>
      </c>
    </row>
    <row customHeight="true" ht="16.071428571428573" r="448">
      <c r="A448" s="220">
        <v>412</v>
      </c>
      <c r="B448" s="221" t="s">
        <v>1353</v>
      </c>
      <c r="C448" s="221" t="s">
        <v>1386</v>
      </c>
      <c r="D448" s="221" t="s">
        <v>1368</v>
      </c>
      <c r="E448" s="222">
        <v>40.5</v>
      </c>
      <c r="F448" s="223">
        <v>1.03</v>
      </c>
      <c r="G448" s="220" t="s">
        <v>1369</v>
      </c>
      <c r="H448" s="221" t="s">
        <v>1370</v>
      </c>
    </row>
    <row customHeight="true" ht="16.071428571428573" r="449">
      <c r="A449" s="220">
        <v>413</v>
      </c>
      <c r="B449" s="221" t="s">
        <v>1351</v>
      </c>
      <c r="C449" s="221" t="s">
        <v>1385</v>
      </c>
      <c r="D449" s="221" t="s">
        <v>1378</v>
      </c>
      <c r="E449" s="222">
        <v>37.1</v>
      </c>
      <c r="F449" s="223">
        <v>1.89</v>
      </c>
      <c r="G449" s="220" t="s">
        <v>1369</v>
      </c>
      <c r="H449" s="221" t="s">
        <v>1370</v>
      </c>
    </row>
    <row customHeight="true" ht="16.071428571428573" r="450">
      <c r="A450" s="220">
        <v>414</v>
      </c>
      <c r="B450" s="221" t="s">
        <v>1374</v>
      </c>
      <c r="C450" s="221" t="s">
        <v>1372</v>
      </c>
      <c r="D450" s="221" t="s">
        <v>1376</v>
      </c>
      <c r="E450" s="222">
        <v>40.9</v>
      </c>
      <c r="F450" s="223">
        <v>1.55</v>
      </c>
      <c r="G450" s="220" t="s">
        <v>1369</v>
      </c>
      <c r="H450" s="221" t="s">
        <v>1370</v>
      </c>
    </row>
    <row customHeight="true" ht="16.071428571428573" r="451">
      <c r="A451" s="220">
        <v>415</v>
      </c>
      <c r="B451" s="221" t="s">
        <v>1353</v>
      </c>
      <c r="C451" s="221" t="s">
        <v>1372</v>
      </c>
      <c r="D451" s="221" t="s">
        <v>1368</v>
      </c>
      <c r="E451" s="222">
        <v>42.2</v>
      </c>
      <c r="F451" s="223">
        <v>1.57</v>
      </c>
      <c r="G451" s="220" t="s">
        <v>1369</v>
      </c>
      <c r="H451" s="221" t="s">
        <v>1370</v>
      </c>
    </row>
    <row customHeight="true" ht="16.071428571428573" r="452">
      <c r="A452" s="220">
        <v>416</v>
      </c>
      <c r="B452" s="221" t="s">
        <v>1371</v>
      </c>
      <c r="C452" s="221" t="s">
        <v>1383</v>
      </c>
      <c r="D452" s="221" t="s">
        <v>1373</v>
      </c>
      <c r="E452" s="222">
        <v>42.5</v>
      </c>
      <c r="F452" s="223">
        <v>0.51</v>
      </c>
      <c r="G452" s="220" t="s">
        <v>1369</v>
      </c>
      <c r="H452" s="221" t="s">
        <v>1370</v>
      </c>
    </row>
    <row customHeight="true" ht="16.071428571428573" r="453">
      <c r="A453" s="220">
        <v>417</v>
      </c>
      <c r="B453" s="221" t="s">
        <v>1374</v>
      </c>
      <c r="C453" s="221" t="s">
        <v>1367</v>
      </c>
      <c r="D453" s="221" t="s">
        <v>1376</v>
      </c>
      <c r="E453" s="222">
        <v>38.2</v>
      </c>
      <c r="F453" s="223">
        <v>1.48</v>
      </c>
      <c r="G453" s="220" t="s">
        <v>1369</v>
      </c>
      <c r="H453" s="221" t="s">
        <v>1370</v>
      </c>
    </row>
    <row customHeight="true" ht="16.071428571428573" r="454">
      <c r="A454" s="220">
        <v>418</v>
      </c>
      <c r="B454" s="221" t="s">
        <v>1374</v>
      </c>
      <c r="C454" s="221" t="s">
        <v>1384</v>
      </c>
      <c r="D454" s="221" t="s">
        <v>1376</v>
      </c>
      <c r="E454" s="222">
        <v>39.3</v>
      </c>
      <c r="F454" s="223">
        <v>0.87</v>
      </c>
      <c r="G454" s="220" t="s">
        <v>1369</v>
      </c>
      <c r="H454" s="221" t="s">
        <v>1370</v>
      </c>
    </row>
    <row customHeight="true" ht="16.071428571428573" r="455">
      <c r="A455" s="220">
        <v>419</v>
      </c>
      <c r="B455" s="221" t="s">
        <v>1353</v>
      </c>
      <c r="C455" s="221" t="s">
        <v>1383</v>
      </c>
      <c r="D455" s="221" t="s">
        <v>1368</v>
      </c>
      <c r="E455" s="222">
        <v>39.4</v>
      </c>
      <c r="F455" s="223">
        <v>1.08</v>
      </c>
      <c r="G455" s="220" t="s">
        <v>1369</v>
      </c>
      <c r="H455" s="221" t="s">
        <v>1370</v>
      </c>
    </row>
    <row customHeight="true" ht="16.071428571428573" r="456">
      <c r="A456" s="220">
        <v>420</v>
      </c>
      <c r="B456" s="221" t="s">
        <v>1374</v>
      </c>
      <c r="C456" s="221" t="s">
        <v>1380</v>
      </c>
      <c r="D456" s="221" t="s">
        <v>1376</v>
      </c>
      <c r="E456" s="222">
        <v>42</v>
      </c>
      <c r="F456" s="223">
        <v>1.15</v>
      </c>
      <c r="G456" s="220" t="s">
        <v>1369</v>
      </c>
      <c r="H456" s="221" t="s">
        <v>1370</v>
      </c>
    </row>
    <row customHeight="true" ht="16.071428571428573" r="457">
      <c r="A457" s="220">
        <v>421</v>
      </c>
      <c r="B457" s="221" t="s">
        <v>1374</v>
      </c>
      <c r="C457" s="221" t="s">
        <v>1372</v>
      </c>
      <c r="D457" s="221" t="s">
        <v>1376</v>
      </c>
      <c r="E457" s="222">
        <v>42.7</v>
      </c>
      <c r="F457" s="223">
        <v>2</v>
      </c>
      <c r="G457" s="220" t="s">
        <v>1369</v>
      </c>
      <c r="H457" s="221" t="s">
        <v>1370</v>
      </c>
    </row>
    <row customHeight="true" ht="16.071428571428573" r="458">
      <c r="A458" s="220">
        <v>422</v>
      </c>
      <c r="B458" s="221" t="s">
        <v>1353</v>
      </c>
      <c r="C458" s="221" t="s">
        <v>1388</v>
      </c>
      <c r="D458" s="221" t="s">
        <v>1368</v>
      </c>
      <c r="E458" s="222">
        <v>42.4</v>
      </c>
      <c r="F458" s="223">
        <v>1.31</v>
      </c>
      <c r="G458" s="220" t="s">
        <v>1369</v>
      </c>
      <c r="H458" s="221" t="s">
        <v>1370</v>
      </c>
    </row>
    <row customHeight="true" ht="16.071428571428573" r="459">
      <c r="A459" s="220">
        <v>423</v>
      </c>
      <c r="B459" s="221" t="s">
        <v>1353</v>
      </c>
      <c r="C459" s="221" t="s">
        <v>1383</v>
      </c>
      <c r="D459" s="221" t="s">
        <v>1368</v>
      </c>
      <c r="E459" s="222">
        <v>43.3</v>
      </c>
      <c r="F459" s="223">
        <v>0.63</v>
      </c>
      <c r="G459" s="220" t="s">
        <v>1369</v>
      </c>
      <c r="H459" s="221" t="s">
        <v>1370</v>
      </c>
    </row>
    <row customHeight="true" ht="16.071428571428573" r="460">
      <c r="A460" s="220">
        <v>424</v>
      </c>
      <c r="B460" s="221" t="s">
        <v>1351</v>
      </c>
      <c r="C460" s="221" t="s">
        <v>1388</v>
      </c>
      <c r="D460" s="221" t="s">
        <v>1378</v>
      </c>
      <c r="E460" s="222">
        <v>45.5</v>
      </c>
      <c r="F460" s="223">
        <v>0.81</v>
      </c>
      <c r="G460" s="220" t="s">
        <v>1369</v>
      </c>
      <c r="H460" s="221" t="s">
        <v>1370</v>
      </c>
    </row>
    <row customHeight="true" ht="16.071428571428573" r="461">
      <c r="A461" s="220">
        <v>425</v>
      </c>
      <c r="B461" s="221" t="s">
        <v>1351</v>
      </c>
      <c r="C461" s="221" t="s">
        <v>1389</v>
      </c>
      <c r="D461" s="221" t="s">
        <v>1378</v>
      </c>
      <c r="E461" s="222">
        <v>43.5</v>
      </c>
      <c r="F461" s="223">
        <v>0.95</v>
      </c>
      <c r="G461" s="220" t="s">
        <v>1369</v>
      </c>
      <c r="H461" s="221" t="s">
        <v>1370</v>
      </c>
    </row>
    <row customHeight="true" ht="16.071428571428573" r="462">
      <c r="A462" s="220">
        <v>426</v>
      </c>
      <c r="B462" s="221" t="s">
        <v>1374</v>
      </c>
      <c r="C462" s="221" t="s">
        <v>1388</v>
      </c>
      <c r="D462" s="221" t="s">
        <v>1376</v>
      </c>
      <c r="E462" s="222">
        <v>36.9</v>
      </c>
      <c r="F462" s="223">
        <v>1.76</v>
      </c>
      <c r="G462" s="220" t="s">
        <v>1369</v>
      </c>
      <c r="H462" s="221" t="s">
        <v>1370</v>
      </c>
    </row>
    <row customHeight="true" ht="16.071428571428573" r="463">
      <c r="A463" s="220">
        <v>427</v>
      </c>
      <c r="B463" s="221" t="s">
        <v>1371</v>
      </c>
      <c r="C463" s="221" t="s">
        <v>1377</v>
      </c>
      <c r="D463" s="221" t="s">
        <v>1373</v>
      </c>
      <c r="E463" s="222">
        <v>37.2</v>
      </c>
      <c r="F463" s="223">
        <v>1.41</v>
      </c>
      <c r="G463" s="220" t="s">
        <v>1369</v>
      </c>
      <c r="H463" s="221" t="s">
        <v>1370</v>
      </c>
    </row>
    <row customHeight="true" ht="16.071428571428573" r="464">
      <c r="A464" s="220">
        <v>428</v>
      </c>
      <c r="B464" s="221" t="s">
        <v>1374</v>
      </c>
      <c r="C464" s="221" t="s">
        <v>1383</v>
      </c>
      <c r="D464" s="221" t="s">
        <v>1376</v>
      </c>
      <c r="E464" s="222">
        <v>43.1</v>
      </c>
      <c r="F464" s="223">
        <v>0.77</v>
      </c>
      <c r="G464" s="220" t="s">
        <v>1369</v>
      </c>
      <c r="H464" s="221" t="s">
        <v>1370</v>
      </c>
    </row>
    <row customHeight="true" ht="16.071428571428573" r="465">
      <c r="A465" s="220">
        <v>429</v>
      </c>
      <c r="B465" s="221" t="s">
        <v>1353</v>
      </c>
      <c r="C465" s="221" t="s">
        <v>1383</v>
      </c>
      <c r="D465" s="221" t="s">
        <v>1368</v>
      </c>
      <c r="E465" s="222">
        <v>37.4</v>
      </c>
      <c r="F465" s="223">
        <v>0.71</v>
      </c>
      <c r="G465" s="220" t="s">
        <v>1369</v>
      </c>
      <c r="H465" s="221" t="s">
        <v>1370</v>
      </c>
    </row>
    <row customHeight="true" ht="16.071428571428573" r="466">
      <c r="A466" s="220">
        <v>430</v>
      </c>
      <c r="B466" s="221" t="s">
        <v>1351</v>
      </c>
      <c r="C466" s="221" t="s">
        <v>1377</v>
      </c>
      <c r="D466" s="221" t="s">
        <v>1378</v>
      </c>
      <c r="E466" s="222">
        <v>43.7</v>
      </c>
      <c r="F466" s="223">
        <v>1.58</v>
      </c>
      <c r="G466" s="220" t="s">
        <v>1369</v>
      </c>
      <c r="H466" s="221" t="s">
        <v>1370</v>
      </c>
    </row>
    <row customHeight="true" ht="16.071428571428573" r="467">
      <c r="A467" s="220">
        <v>431</v>
      </c>
      <c r="B467" s="221" t="s">
        <v>1351</v>
      </c>
      <c r="C467" s="221" t="s">
        <v>1377</v>
      </c>
      <c r="D467" s="221" t="s">
        <v>1378</v>
      </c>
      <c r="E467" s="222">
        <v>42.7</v>
      </c>
      <c r="F467" s="223">
        <v>0.7</v>
      </c>
      <c r="G467" s="220" t="s">
        <v>1369</v>
      </c>
      <c r="H467" s="221" t="s">
        <v>1370</v>
      </c>
    </row>
    <row customHeight="true" ht="16.071428571428573" r="468">
      <c r="A468" s="220">
        <v>432</v>
      </c>
      <c r="B468" s="221" t="s">
        <v>1374</v>
      </c>
      <c r="C468" s="221" t="s">
        <v>1388</v>
      </c>
      <c r="D468" s="221" t="s">
        <v>1376</v>
      </c>
      <c r="E468" s="222">
        <v>41.7</v>
      </c>
      <c r="F468" s="223">
        <v>1.09</v>
      </c>
      <c r="G468" s="220" t="s">
        <v>1369</v>
      </c>
      <c r="H468" s="221" t="s">
        <v>1370</v>
      </c>
    </row>
    <row customHeight="true" ht="16.071428571428573" r="469">
      <c r="A469" s="220">
        <v>433</v>
      </c>
      <c r="B469" s="221" t="s">
        <v>1374</v>
      </c>
      <c r="C469" s="221" t="s">
        <v>1384</v>
      </c>
      <c r="D469" s="221" t="s">
        <v>1376</v>
      </c>
      <c r="E469" s="222">
        <v>36.3</v>
      </c>
      <c r="F469" s="223">
        <v>1.23</v>
      </c>
      <c r="G469" s="220" t="s">
        <v>1369</v>
      </c>
      <c r="H469" s="221" t="s">
        <v>1370</v>
      </c>
    </row>
    <row customHeight="true" ht="16.071428571428573" r="470">
      <c r="A470" s="220">
        <v>434</v>
      </c>
      <c r="B470" s="221" t="s">
        <v>1351</v>
      </c>
      <c r="C470" s="221" t="s">
        <v>1367</v>
      </c>
      <c r="D470" s="221" t="s">
        <v>1378</v>
      </c>
      <c r="E470" s="222">
        <v>41.5</v>
      </c>
      <c r="F470" s="223">
        <v>1.74</v>
      </c>
      <c r="G470" s="220" t="s">
        <v>1369</v>
      </c>
      <c r="H470" s="221" t="s">
        <v>1370</v>
      </c>
    </row>
    <row customHeight="true" ht="16.071428571428573" r="471">
      <c r="A471" s="220">
        <v>435</v>
      </c>
      <c r="B471" s="221" t="s">
        <v>1374</v>
      </c>
      <c r="C471" s="221" t="s">
        <v>1389</v>
      </c>
      <c r="D471" s="221" t="s">
        <v>1376</v>
      </c>
      <c r="E471" s="222">
        <v>42.1</v>
      </c>
      <c r="F471" s="223">
        <v>1.02</v>
      </c>
      <c r="G471" s="220" t="s">
        <v>1369</v>
      </c>
      <c r="H471" s="221" t="s">
        <v>1370</v>
      </c>
    </row>
    <row customHeight="true" ht="16.071428571428573" r="472">
      <c r="A472" s="220">
        <v>436</v>
      </c>
      <c r="B472" s="221" t="s">
        <v>1371</v>
      </c>
      <c r="C472" s="221" t="s">
        <v>1388</v>
      </c>
      <c r="D472" s="221" t="s">
        <v>1373</v>
      </c>
      <c r="E472" s="222">
        <v>41.5</v>
      </c>
      <c r="F472" s="223">
        <v>0.84</v>
      </c>
      <c r="G472" s="220" t="s">
        <v>1369</v>
      </c>
      <c r="H472" s="221" t="s">
        <v>1370</v>
      </c>
    </row>
    <row customHeight="true" ht="16.071428571428573" r="473">
      <c r="A473" s="220">
        <v>437</v>
      </c>
      <c r="B473" s="221" t="s">
        <v>1374</v>
      </c>
      <c r="C473" s="221" t="s">
        <v>1372</v>
      </c>
      <c r="D473" s="221" t="s">
        <v>1376</v>
      </c>
      <c r="E473" s="222">
        <v>36.5</v>
      </c>
      <c r="F473" s="223">
        <v>2.05</v>
      </c>
      <c r="G473" s="220" t="s">
        <v>1369</v>
      </c>
      <c r="H473" s="221" t="s">
        <v>1370</v>
      </c>
    </row>
    <row customHeight="true" ht="16.071428571428573" r="474">
      <c r="A474" s="220">
        <v>438</v>
      </c>
      <c r="B474" s="221" t="s">
        <v>1371</v>
      </c>
      <c r="C474" s="221" t="s">
        <v>1383</v>
      </c>
      <c r="D474" s="221" t="s">
        <v>1373</v>
      </c>
      <c r="E474" s="222">
        <v>37.8</v>
      </c>
      <c r="F474" s="223">
        <v>1.69</v>
      </c>
      <c r="G474" s="220" t="s">
        <v>1369</v>
      </c>
      <c r="H474" s="221" t="s">
        <v>1370</v>
      </c>
    </row>
    <row customHeight="true" ht="16.071428571428573" r="475">
      <c r="A475" s="220">
        <v>439</v>
      </c>
      <c r="B475" s="221" t="s">
        <v>1351</v>
      </c>
      <c r="C475" s="221" t="s">
        <v>1375</v>
      </c>
      <c r="D475" s="221" t="s">
        <v>1378</v>
      </c>
      <c r="E475" s="222">
        <v>42.9</v>
      </c>
      <c r="F475" s="223">
        <v>0.81</v>
      </c>
      <c r="G475" s="220" t="s">
        <v>1369</v>
      </c>
      <c r="H475" s="221" t="s">
        <v>1370</v>
      </c>
    </row>
    <row customHeight="true" ht="16.071428571428573" r="476">
      <c r="A476" s="220">
        <v>440</v>
      </c>
      <c r="B476" s="221" t="s">
        <v>1353</v>
      </c>
      <c r="C476" s="221" t="s">
        <v>1377</v>
      </c>
      <c r="D476" s="221" t="s">
        <v>1368</v>
      </c>
      <c r="E476" s="222">
        <v>40.9</v>
      </c>
      <c r="F476" s="223">
        <v>0.89</v>
      </c>
      <c r="G476" s="220" t="s">
        <v>1369</v>
      </c>
      <c r="H476" s="221" t="s">
        <v>1370</v>
      </c>
    </row>
    <row customHeight="true" ht="16.071428571428573" r="477">
      <c r="A477" s="220">
        <v>441</v>
      </c>
      <c r="B477" s="221" t="s">
        <v>1353</v>
      </c>
      <c r="C477" s="221" t="s">
        <v>1379</v>
      </c>
      <c r="D477" s="221" t="s">
        <v>1368</v>
      </c>
      <c r="E477" s="222">
        <v>40.3</v>
      </c>
      <c r="F477" s="223">
        <v>1.19</v>
      </c>
      <c r="G477" s="220" t="s">
        <v>1369</v>
      </c>
      <c r="H477" s="221" t="s">
        <v>1370</v>
      </c>
    </row>
    <row customHeight="true" ht="16.071428571428573" r="478">
      <c r="A478" s="220">
        <v>442</v>
      </c>
      <c r="B478" s="221" t="s">
        <v>1374</v>
      </c>
      <c r="C478" s="221" t="s">
        <v>1367</v>
      </c>
      <c r="D478" s="221" t="s">
        <v>1376</v>
      </c>
      <c r="E478" s="222">
        <v>45.8</v>
      </c>
      <c r="F478" s="223">
        <v>1.46</v>
      </c>
      <c r="G478" s="220" t="s">
        <v>1369</v>
      </c>
      <c r="H478" s="221" t="s">
        <v>1370</v>
      </c>
    </row>
    <row customHeight="true" ht="16.071428571428573" r="479">
      <c r="A479" s="220">
        <v>443</v>
      </c>
      <c r="B479" s="221" t="s">
        <v>1351</v>
      </c>
      <c r="C479" s="221" t="s">
        <v>1389</v>
      </c>
      <c r="D479" s="221" t="s">
        <v>1378</v>
      </c>
      <c r="E479" s="222">
        <v>55.4</v>
      </c>
      <c r="F479" s="223">
        <v>3.91</v>
      </c>
      <c r="G479" s="220" t="s">
        <v>1381</v>
      </c>
      <c r="H479" s="221" t="s">
        <v>1382</v>
      </c>
    </row>
    <row customHeight="true" ht="16.071428571428573" r="480">
      <c r="A480" s="220">
        <v>444</v>
      </c>
      <c r="B480" s="221" t="s">
        <v>1374</v>
      </c>
      <c r="C480" s="221" t="s">
        <v>1383</v>
      </c>
      <c r="D480" s="221" t="s">
        <v>1376</v>
      </c>
      <c r="E480" s="222">
        <v>37</v>
      </c>
      <c r="F480" s="223">
        <v>1.26</v>
      </c>
      <c r="G480" s="220" t="s">
        <v>1369</v>
      </c>
      <c r="H480" s="221" t="s">
        <v>1370</v>
      </c>
    </row>
    <row customHeight="true" ht="16.071428571428573" r="481">
      <c r="A481" s="220">
        <v>445</v>
      </c>
      <c r="B481" s="221" t="s">
        <v>1351</v>
      </c>
      <c r="C481" s="221" t="s">
        <v>1384</v>
      </c>
      <c r="D481" s="221" t="s">
        <v>1378</v>
      </c>
      <c r="E481" s="222">
        <v>38.3</v>
      </c>
      <c r="F481" s="223">
        <v>0.91</v>
      </c>
      <c r="G481" s="220" t="s">
        <v>1369</v>
      </c>
      <c r="H481" s="221" t="s">
        <v>1370</v>
      </c>
    </row>
    <row customHeight="true" ht="16.071428571428573" r="482">
      <c r="A482" s="220">
        <v>446</v>
      </c>
      <c r="B482" s="221" t="s">
        <v>1374</v>
      </c>
      <c r="C482" s="221" t="s">
        <v>1383</v>
      </c>
      <c r="D482" s="221" t="s">
        <v>1376</v>
      </c>
      <c r="E482" s="222">
        <v>36.9</v>
      </c>
      <c r="F482" s="223">
        <v>1.23</v>
      </c>
      <c r="G482" s="220" t="s">
        <v>1369</v>
      </c>
      <c r="H482" s="221" t="s">
        <v>1370</v>
      </c>
    </row>
    <row customHeight="true" ht="16.071428571428573" r="483">
      <c r="A483" s="220">
        <v>447</v>
      </c>
      <c r="B483" s="221" t="s">
        <v>1353</v>
      </c>
      <c r="C483" s="221" t="s">
        <v>1385</v>
      </c>
      <c r="D483" s="221" t="s">
        <v>1368</v>
      </c>
      <c r="E483" s="222">
        <v>39.3</v>
      </c>
      <c r="F483" s="223">
        <v>1.49</v>
      </c>
      <c r="G483" s="220" t="s">
        <v>1369</v>
      </c>
      <c r="H483" s="221" t="s">
        <v>1370</v>
      </c>
    </row>
    <row customHeight="true" ht="16.071428571428573" r="484">
      <c r="A484" s="220">
        <v>448</v>
      </c>
      <c r="B484" s="221" t="s">
        <v>1353</v>
      </c>
      <c r="C484" s="221" t="s">
        <v>1367</v>
      </c>
      <c r="D484" s="221" t="s">
        <v>1368</v>
      </c>
      <c r="E484" s="222">
        <v>37.3</v>
      </c>
      <c r="F484" s="223">
        <v>1.09</v>
      </c>
      <c r="G484" s="220" t="s">
        <v>1369</v>
      </c>
      <c r="H484" s="221" t="s">
        <v>1370</v>
      </c>
    </row>
    <row customHeight="true" ht="16.071428571428573" r="485">
      <c r="A485" s="220">
        <v>449</v>
      </c>
      <c r="B485" s="221" t="s">
        <v>1371</v>
      </c>
      <c r="C485" s="221" t="s">
        <v>1386</v>
      </c>
      <c r="D485" s="221" t="s">
        <v>1373</v>
      </c>
      <c r="E485" s="222">
        <v>38.6</v>
      </c>
      <c r="F485" s="223">
        <v>1.75</v>
      </c>
      <c r="G485" s="220" t="s">
        <v>1369</v>
      </c>
      <c r="H485" s="221" t="s">
        <v>1370</v>
      </c>
    </row>
    <row customHeight="true" ht="16.071428571428573" r="486">
      <c r="A486" s="220">
        <v>450</v>
      </c>
      <c r="B486" s="221" t="s">
        <v>1371</v>
      </c>
      <c r="C486" s="221" t="s">
        <v>1385</v>
      </c>
      <c r="D486" s="221" t="s">
        <v>1373</v>
      </c>
      <c r="E486" s="222">
        <v>41.6</v>
      </c>
      <c r="F486" s="223">
        <v>1.33</v>
      </c>
      <c r="G486" s="220" t="s">
        <v>1369</v>
      </c>
      <c r="H486" s="221" t="s">
        <v>1370</v>
      </c>
    </row>
    <row customHeight="true" ht="16.071428571428573" r="487">
      <c r="A487" s="220">
        <v>451</v>
      </c>
      <c r="B487" s="221" t="s">
        <v>1351</v>
      </c>
      <c r="C487" s="221" t="s">
        <v>1377</v>
      </c>
      <c r="D487" s="221" t="s">
        <v>1378</v>
      </c>
      <c r="E487" s="222">
        <v>54.8</v>
      </c>
      <c r="F487" s="223">
        <v>3.6</v>
      </c>
      <c r="G487" s="220" t="s">
        <v>1381</v>
      </c>
      <c r="H487" s="221" t="s">
        <v>1387</v>
      </c>
    </row>
    <row customHeight="true" ht="16.071428571428573" r="488">
      <c r="A488" s="220">
        <v>452</v>
      </c>
      <c r="B488" s="221" t="s">
        <v>1351</v>
      </c>
      <c r="C488" s="221" t="s">
        <v>1380</v>
      </c>
      <c r="D488" s="221" t="s">
        <v>1378</v>
      </c>
      <c r="E488" s="222">
        <v>44.2</v>
      </c>
      <c r="F488" s="223">
        <v>1.48</v>
      </c>
      <c r="G488" s="220" t="s">
        <v>1369</v>
      </c>
      <c r="H488" s="221" t="s">
        <v>1370</v>
      </c>
    </row>
    <row customHeight="true" ht="16.071428571428573" r="489">
      <c r="A489" s="220">
        <v>453</v>
      </c>
      <c r="B489" s="221" t="s">
        <v>1374</v>
      </c>
      <c r="C489" s="221" t="s">
        <v>1379</v>
      </c>
      <c r="D489" s="221" t="s">
        <v>1376</v>
      </c>
      <c r="E489" s="222">
        <v>42.2</v>
      </c>
      <c r="F489" s="223">
        <v>1.33</v>
      </c>
      <c r="G489" s="220" t="s">
        <v>1369</v>
      </c>
      <c r="H489" s="221" t="s">
        <v>1370</v>
      </c>
    </row>
    <row customHeight="true" ht="16.071428571428573" r="490">
      <c r="A490" s="220">
        <v>454</v>
      </c>
      <c r="B490" s="221" t="s">
        <v>1353</v>
      </c>
      <c r="C490" s="221" t="s">
        <v>1375</v>
      </c>
      <c r="D490" s="221" t="s">
        <v>1368</v>
      </c>
      <c r="E490" s="222">
        <v>42</v>
      </c>
      <c r="F490" s="223">
        <v>1.69</v>
      </c>
      <c r="G490" s="220" t="s">
        <v>1369</v>
      </c>
      <c r="H490" s="221" t="s">
        <v>1370</v>
      </c>
    </row>
    <row customHeight="true" ht="16.071428571428573" r="491">
      <c r="A491" s="220">
        <v>455</v>
      </c>
      <c r="B491" s="221" t="s">
        <v>1351</v>
      </c>
      <c r="C491" s="221" t="s">
        <v>1384</v>
      </c>
      <c r="D491" s="221" t="s">
        <v>1378</v>
      </c>
      <c r="E491" s="222">
        <v>37.6</v>
      </c>
      <c r="F491" s="223">
        <v>1.68</v>
      </c>
      <c r="G491" s="220" t="s">
        <v>1369</v>
      </c>
      <c r="H491" s="221" t="s">
        <v>1370</v>
      </c>
    </row>
    <row customHeight="true" ht="16.071428571428573" r="492">
      <c r="A492" s="220">
        <v>456</v>
      </c>
      <c r="B492" s="221" t="s">
        <v>1353</v>
      </c>
      <c r="C492" s="221" t="s">
        <v>1384</v>
      </c>
      <c r="D492" s="221" t="s">
        <v>1368</v>
      </c>
      <c r="E492" s="222">
        <v>45.8</v>
      </c>
      <c r="F492" s="223">
        <v>1.08</v>
      </c>
      <c r="G492" s="220" t="s">
        <v>1369</v>
      </c>
      <c r="H492" s="221" t="s">
        <v>1370</v>
      </c>
    </row>
    <row customHeight="true" ht="16.071428571428573" r="493">
      <c r="A493" s="220">
        <v>457</v>
      </c>
      <c r="B493" s="221" t="s">
        <v>1374</v>
      </c>
      <c r="C493" s="221" t="s">
        <v>1389</v>
      </c>
      <c r="D493" s="221" t="s">
        <v>1376</v>
      </c>
      <c r="E493" s="222">
        <v>38.6</v>
      </c>
      <c r="F493" s="223">
        <v>1.89</v>
      </c>
      <c r="G493" s="220" t="s">
        <v>1369</v>
      </c>
      <c r="H493" s="221" t="s">
        <v>1370</v>
      </c>
    </row>
    <row customHeight="true" ht="16.071428571428573" r="494">
      <c r="A494" s="220">
        <v>458</v>
      </c>
      <c r="B494" s="221" t="s">
        <v>1353</v>
      </c>
      <c r="C494" s="221" t="s">
        <v>1384</v>
      </c>
      <c r="D494" s="221" t="s">
        <v>1368</v>
      </c>
      <c r="E494" s="222">
        <v>42.2</v>
      </c>
      <c r="F494" s="223">
        <v>1.69</v>
      </c>
      <c r="G494" s="220" t="s">
        <v>1369</v>
      </c>
      <c r="H494" s="221" t="s">
        <v>1370</v>
      </c>
    </row>
    <row customHeight="true" ht="16.071428571428573" r="495">
      <c r="A495" s="220">
        <v>459</v>
      </c>
      <c r="B495" s="221" t="s">
        <v>1374</v>
      </c>
      <c r="C495" s="221" t="s">
        <v>1385</v>
      </c>
      <c r="D495" s="221" t="s">
        <v>1376</v>
      </c>
      <c r="E495" s="222">
        <v>42.9</v>
      </c>
      <c r="F495" s="223">
        <v>1.42</v>
      </c>
      <c r="G495" s="220" t="s">
        <v>1369</v>
      </c>
      <c r="H495" s="221" t="s">
        <v>1370</v>
      </c>
    </row>
    <row customHeight="true" ht="16.071428571428573" r="496">
      <c r="A496" s="220">
        <v>460</v>
      </c>
      <c r="B496" s="221" t="s">
        <v>1351</v>
      </c>
      <c r="C496" s="221" t="s">
        <v>1383</v>
      </c>
      <c r="D496" s="221" t="s">
        <v>1378</v>
      </c>
      <c r="E496" s="222">
        <v>36.4</v>
      </c>
      <c r="F496" s="223">
        <v>1.89</v>
      </c>
      <c r="G496" s="220" t="s">
        <v>1369</v>
      </c>
      <c r="H496" s="221" t="s">
        <v>1370</v>
      </c>
    </row>
    <row customHeight="true" ht="16.071428571428573" r="497">
      <c r="A497" s="220">
        <v>461</v>
      </c>
      <c r="B497" s="221" t="s">
        <v>1351</v>
      </c>
      <c r="C497" s="221" t="s">
        <v>1383</v>
      </c>
      <c r="D497" s="221" t="s">
        <v>1378</v>
      </c>
      <c r="E497" s="222">
        <v>38.8</v>
      </c>
      <c r="F497" s="223">
        <v>2.02</v>
      </c>
      <c r="G497" s="220" t="s">
        <v>1369</v>
      </c>
      <c r="H497" s="221" t="s">
        <v>1370</v>
      </c>
    </row>
    <row customHeight="true" ht="16.071428571428573" r="498">
      <c r="A498" s="220">
        <v>462</v>
      </c>
      <c r="B498" s="221" t="s">
        <v>1374</v>
      </c>
      <c r="C498" s="221" t="s">
        <v>1389</v>
      </c>
      <c r="D498" s="221" t="s">
        <v>1376</v>
      </c>
      <c r="E498" s="222">
        <v>37.7</v>
      </c>
      <c r="F498" s="223">
        <v>0.92</v>
      </c>
      <c r="G498" s="220" t="s">
        <v>1369</v>
      </c>
      <c r="H498" s="221" t="s">
        <v>1370</v>
      </c>
    </row>
    <row customHeight="true" ht="16.071428571428573" r="499">
      <c r="A499" s="220">
        <v>463</v>
      </c>
      <c r="B499" s="221" t="s">
        <v>1374</v>
      </c>
      <c r="C499" s="221" t="s">
        <v>1383</v>
      </c>
      <c r="D499" s="221" t="s">
        <v>1376</v>
      </c>
      <c r="E499" s="222">
        <v>36.8</v>
      </c>
      <c r="F499" s="223">
        <v>0.76</v>
      </c>
      <c r="G499" s="220" t="s">
        <v>1369</v>
      </c>
      <c r="H499" s="221" t="s">
        <v>1370</v>
      </c>
    </row>
    <row customHeight="true" ht="16.071428571428573" r="500">
      <c r="A500" s="220">
        <v>464</v>
      </c>
      <c r="B500" s="221" t="s">
        <v>1351</v>
      </c>
      <c r="C500" s="221" t="s">
        <v>1377</v>
      </c>
      <c r="D500" s="221" t="s">
        <v>1378</v>
      </c>
      <c r="E500" s="222">
        <v>42.1</v>
      </c>
      <c r="F500" s="223">
        <v>2.08</v>
      </c>
      <c r="G500" s="220" t="s">
        <v>1369</v>
      </c>
      <c r="H500" s="221" t="s">
        <v>1370</v>
      </c>
    </row>
    <row customHeight="true" ht="16.071428571428573" r="501">
      <c r="A501" s="220">
        <v>465</v>
      </c>
      <c r="B501" s="221" t="s">
        <v>1374</v>
      </c>
      <c r="C501" s="221" t="s">
        <v>1389</v>
      </c>
      <c r="D501" s="221" t="s">
        <v>1376</v>
      </c>
      <c r="E501" s="222">
        <v>36.3</v>
      </c>
      <c r="F501" s="223">
        <v>1.88</v>
      </c>
      <c r="G501" s="220" t="s">
        <v>1369</v>
      </c>
      <c r="H501" s="221" t="s">
        <v>1370</v>
      </c>
    </row>
    <row customHeight="true" ht="16.071428571428573" r="502">
      <c r="A502" s="220">
        <v>466</v>
      </c>
      <c r="B502" s="221" t="s">
        <v>1374</v>
      </c>
      <c r="C502" s="221" t="s">
        <v>1377</v>
      </c>
      <c r="D502" s="221" t="s">
        <v>1376</v>
      </c>
      <c r="E502" s="222">
        <v>41.2</v>
      </c>
      <c r="F502" s="223">
        <v>1.9</v>
      </c>
      <c r="G502" s="220" t="s">
        <v>1369</v>
      </c>
      <c r="H502" s="221" t="s">
        <v>1370</v>
      </c>
    </row>
    <row customHeight="true" ht="16.071428571428573" r="503">
      <c r="A503" s="220">
        <v>467</v>
      </c>
      <c r="B503" s="221" t="s">
        <v>1351</v>
      </c>
      <c r="C503" s="221" t="s">
        <v>1380</v>
      </c>
      <c r="D503" s="221" t="s">
        <v>1378</v>
      </c>
      <c r="E503" s="222">
        <v>39.6</v>
      </c>
      <c r="F503" s="223">
        <v>0.8</v>
      </c>
      <c r="G503" s="220" t="s">
        <v>1369</v>
      </c>
      <c r="H503" s="221" t="s">
        <v>1370</v>
      </c>
    </row>
    <row customHeight="true" ht="16.071428571428573" r="504">
      <c r="A504" s="220">
        <v>468</v>
      </c>
      <c r="B504" s="221" t="s">
        <v>1351</v>
      </c>
      <c r="C504" s="221" t="s">
        <v>1372</v>
      </c>
      <c r="D504" s="221" t="s">
        <v>1378</v>
      </c>
      <c r="E504" s="222">
        <v>41.9</v>
      </c>
      <c r="F504" s="223">
        <v>0.63</v>
      </c>
      <c r="G504" s="220" t="s">
        <v>1369</v>
      </c>
      <c r="H504" s="221" t="s">
        <v>1370</v>
      </c>
    </row>
    <row customHeight="true" ht="16.071428571428573" r="505">
      <c r="A505" s="220">
        <v>469</v>
      </c>
      <c r="B505" s="221" t="s">
        <v>1374</v>
      </c>
      <c r="C505" s="221" t="s">
        <v>1386</v>
      </c>
      <c r="D505" s="221" t="s">
        <v>1376</v>
      </c>
      <c r="E505" s="222">
        <v>40.7</v>
      </c>
      <c r="F505" s="223">
        <v>1.77</v>
      </c>
      <c r="G505" s="220" t="s">
        <v>1369</v>
      </c>
      <c r="H505" s="221" t="s">
        <v>1370</v>
      </c>
    </row>
    <row customHeight="true" ht="16.071428571428573" r="506">
      <c r="A506" s="220">
        <v>470</v>
      </c>
      <c r="B506" s="221" t="s">
        <v>1371</v>
      </c>
      <c r="C506" s="221" t="s">
        <v>1375</v>
      </c>
      <c r="D506" s="221" t="s">
        <v>1373</v>
      </c>
      <c r="E506" s="222">
        <v>37.1</v>
      </c>
      <c r="F506" s="223">
        <v>1.12</v>
      </c>
      <c r="G506" s="220" t="s">
        <v>1369</v>
      </c>
      <c r="H506" s="221" t="s">
        <v>1370</v>
      </c>
    </row>
    <row customHeight="true" ht="16.071428571428573" r="507">
      <c r="A507" s="220">
        <v>471</v>
      </c>
      <c r="B507" s="221" t="s">
        <v>1351</v>
      </c>
      <c r="C507" s="221" t="s">
        <v>1386</v>
      </c>
      <c r="D507" s="221" t="s">
        <v>1378</v>
      </c>
      <c r="E507" s="222">
        <v>44.1</v>
      </c>
      <c r="F507" s="223">
        <v>0.75</v>
      </c>
      <c r="G507" s="220" t="s">
        <v>1369</v>
      </c>
      <c r="H507" s="221" t="s">
        <v>1370</v>
      </c>
    </row>
    <row customHeight="true" ht="16.071428571428573" r="508">
      <c r="A508" s="220">
        <v>472</v>
      </c>
      <c r="B508" s="221" t="s">
        <v>1353</v>
      </c>
      <c r="C508" s="221" t="s">
        <v>1372</v>
      </c>
      <c r="D508" s="221" t="s">
        <v>1368</v>
      </c>
      <c r="E508" s="222">
        <v>41.2</v>
      </c>
      <c r="F508" s="223">
        <v>1.5</v>
      </c>
      <c r="G508" s="220" t="s">
        <v>1369</v>
      </c>
      <c r="H508" s="221" t="s">
        <v>1370</v>
      </c>
    </row>
    <row customHeight="true" ht="16.071428571428573" r="509">
      <c r="A509" s="220">
        <v>473</v>
      </c>
      <c r="B509" s="221" t="s">
        <v>1351</v>
      </c>
      <c r="C509" s="221" t="s">
        <v>1388</v>
      </c>
      <c r="D509" s="221" t="s">
        <v>1378</v>
      </c>
      <c r="E509" s="222">
        <v>45.1</v>
      </c>
      <c r="F509" s="223">
        <v>0.9</v>
      </c>
      <c r="G509" s="220" t="s">
        <v>1369</v>
      </c>
      <c r="H509" s="221" t="s">
        <v>1370</v>
      </c>
    </row>
    <row customHeight="true" ht="16.071428571428573" r="510">
      <c r="A510" s="220">
        <v>474</v>
      </c>
      <c r="B510" s="221" t="s">
        <v>1371</v>
      </c>
      <c r="C510" s="221" t="s">
        <v>1384</v>
      </c>
      <c r="D510" s="221" t="s">
        <v>1373</v>
      </c>
      <c r="E510" s="222">
        <v>39.9</v>
      </c>
      <c r="F510" s="223">
        <v>1.61</v>
      </c>
      <c r="G510" s="220" t="s">
        <v>1369</v>
      </c>
      <c r="H510" s="221" t="s">
        <v>1370</v>
      </c>
    </row>
    <row customHeight="true" ht="16.071428571428573" r="511">
      <c r="A511" s="220">
        <v>475</v>
      </c>
      <c r="B511" s="221" t="s">
        <v>1371</v>
      </c>
      <c r="C511" s="221" t="s">
        <v>1367</v>
      </c>
      <c r="D511" s="221" t="s">
        <v>1373</v>
      </c>
      <c r="E511" s="222">
        <v>42.8</v>
      </c>
      <c r="F511" s="223">
        <v>1.33</v>
      </c>
      <c r="G511" s="220" t="s">
        <v>1369</v>
      </c>
      <c r="H511" s="221" t="s">
        <v>1370</v>
      </c>
    </row>
    <row customHeight="true" ht="16.071428571428573" r="512">
      <c r="A512" s="220">
        <v>476</v>
      </c>
      <c r="B512" s="221" t="s">
        <v>1374</v>
      </c>
      <c r="C512" s="221" t="s">
        <v>1372</v>
      </c>
      <c r="D512" s="221" t="s">
        <v>1376</v>
      </c>
      <c r="E512" s="222">
        <v>38.6</v>
      </c>
      <c r="F512" s="223">
        <v>1.08</v>
      </c>
      <c r="G512" s="220" t="s">
        <v>1369</v>
      </c>
      <c r="H512" s="221" t="s">
        <v>1370</v>
      </c>
    </row>
    <row customHeight="true" ht="16.071428571428573" r="513">
      <c r="A513" s="220">
        <v>477</v>
      </c>
      <c r="B513" s="221" t="s">
        <v>1351</v>
      </c>
      <c r="C513" s="221" t="s">
        <v>1377</v>
      </c>
      <c r="D513" s="221" t="s">
        <v>1378</v>
      </c>
      <c r="E513" s="222">
        <v>44.1</v>
      </c>
      <c r="F513" s="223">
        <v>1.1</v>
      </c>
      <c r="G513" s="220" t="s">
        <v>1369</v>
      </c>
      <c r="H513" s="221" t="s">
        <v>1370</v>
      </c>
    </row>
    <row customHeight="true" ht="16.071428571428573" r="514">
      <c r="A514" s="220">
        <v>478</v>
      </c>
      <c r="B514" s="221" t="s">
        <v>1371</v>
      </c>
      <c r="C514" s="221" t="s">
        <v>1379</v>
      </c>
      <c r="D514" s="221" t="s">
        <v>1373</v>
      </c>
      <c r="E514" s="222">
        <v>45.1</v>
      </c>
      <c r="F514" s="223">
        <v>1.61</v>
      </c>
      <c r="G514" s="220" t="s">
        <v>1369</v>
      </c>
      <c r="H514" s="221" t="s">
        <v>1370</v>
      </c>
    </row>
    <row customHeight="true" ht="16.071428571428573" r="515">
      <c r="A515" s="220">
        <v>479</v>
      </c>
      <c r="B515" s="221" t="s">
        <v>1371</v>
      </c>
      <c r="C515" s="221" t="s">
        <v>1380</v>
      </c>
      <c r="D515" s="221" t="s">
        <v>1373</v>
      </c>
      <c r="E515" s="222">
        <v>37.9</v>
      </c>
      <c r="F515" s="223">
        <v>0.51</v>
      </c>
      <c r="G515" s="220" t="s">
        <v>1369</v>
      </c>
      <c r="H515" s="221" t="s">
        <v>1370</v>
      </c>
    </row>
    <row customHeight="true" ht="16.071428571428573" r="516">
      <c r="A516" s="220">
        <v>480</v>
      </c>
      <c r="B516" s="221" t="s">
        <v>1371</v>
      </c>
      <c r="C516" s="221" t="s">
        <v>1379</v>
      </c>
      <c r="D516" s="221" t="s">
        <v>1373</v>
      </c>
      <c r="E516" s="222">
        <v>39.6</v>
      </c>
      <c r="F516" s="223">
        <v>1.39</v>
      </c>
      <c r="G516" s="220" t="s">
        <v>1369</v>
      </c>
      <c r="H516" s="221" t="s">
        <v>1370</v>
      </c>
    </row>
    <row customHeight="true" ht="16.071428571428573" r="517">
      <c r="A517" s="220">
        <v>481</v>
      </c>
      <c r="B517" s="221" t="s">
        <v>1353</v>
      </c>
      <c r="C517" s="221" t="s">
        <v>1379</v>
      </c>
      <c r="D517" s="221" t="s">
        <v>1368</v>
      </c>
      <c r="E517" s="222">
        <v>45.1</v>
      </c>
      <c r="F517" s="223">
        <v>1.05</v>
      </c>
      <c r="G517" s="220" t="s">
        <v>1369</v>
      </c>
      <c r="H517" s="221" t="s">
        <v>1370</v>
      </c>
    </row>
    <row customHeight="true" ht="16.071428571428573" r="518">
      <c r="A518" s="220">
        <v>482</v>
      </c>
      <c r="B518" s="221" t="s">
        <v>1371</v>
      </c>
      <c r="C518" s="221" t="s">
        <v>1367</v>
      </c>
      <c r="D518" s="221" t="s">
        <v>1373</v>
      </c>
      <c r="E518" s="222">
        <v>44.3</v>
      </c>
      <c r="F518" s="223">
        <v>0.58</v>
      </c>
      <c r="G518" s="220" t="s">
        <v>1369</v>
      </c>
      <c r="H518" s="221" t="s">
        <v>1370</v>
      </c>
    </row>
    <row customHeight="true" ht="16.071428571428573" r="519">
      <c r="A519" s="220">
        <v>483</v>
      </c>
      <c r="B519" s="221" t="s">
        <v>1374</v>
      </c>
      <c r="C519" s="221" t="s">
        <v>1375</v>
      </c>
      <c r="D519" s="221" t="s">
        <v>1376</v>
      </c>
      <c r="E519" s="222">
        <v>44.8</v>
      </c>
      <c r="F519" s="223">
        <v>2.02</v>
      </c>
      <c r="G519" s="220" t="s">
        <v>1369</v>
      </c>
      <c r="H519" s="221" t="s">
        <v>1370</v>
      </c>
    </row>
    <row customHeight="true" ht="16.071428571428573" r="520">
      <c r="A520" s="220">
        <v>484</v>
      </c>
      <c r="B520" s="221" t="s">
        <v>1353</v>
      </c>
      <c r="C520" s="221" t="s">
        <v>1389</v>
      </c>
      <c r="D520" s="221" t="s">
        <v>1368</v>
      </c>
      <c r="E520" s="222">
        <v>56.4</v>
      </c>
      <c r="F520" s="223">
        <v>3.45</v>
      </c>
      <c r="G520" s="220" t="s">
        <v>1381</v>
      </c>
      <c r="H520" s="221" t="s">
        <v>1387</v>
      </c>
    </row>
    <row customHeight="true" ht="16.071428571428573" r="521">
      <c r="A521" s="220">
        <v>485</v>
      </c>
      <c r="B521" s="221" t="s">
        <v>1374</v>
      </c>
      <c r="C521" s="221" t="s">
        <v>1383</v>
      </c>
      <c r="D521" s="221" t="s">
        <v>1376</v>
      </c>
      <c r="E521" s="222">
        <v>36.9</v>
      </c>
      <c r="F521" s="223">
        <v>0.55</v>
      </c>
      <c r="G521" s="220" t="s">
        <v>1369</v>
      </c>
      <c r="H521" s="221" t="s">
        <v>1370</v>
      </c>
    </row>
    <row customHeight="true" ht="16.071428571428573" r="522">
      <c r="A522" s="220">
        <v>486</v>
      </c>
      <c r="B522" s="221" t="s">
        <v>1374</v>
      </c>
      <c r="C522" s="221" t="s">
        <v>1389</v>
      </c>
      <c r="D522" s="221" t="s">
        <v>1376</v>
      </c>
      <c r="E522" s="222">
        <v>38.1</v>
      </c>
      <c r="F522" s="223">
        <v>1.51</v>
      </c>
      <c r="G522" s="220" t="s">
        <v>1369</v>
      </c>
      <c r="H522" s="221" t="s">
        <v>1370</v>
      </c>
    </row>
    <row customHeight="true" ht="16.071428571428573" r="523">
      <c r="A523" s="220">
        <v>487</v>
      </c>
      <c r="B523" s="221" t="s">
        <v>1374</v>
      </c>
      <c r="C523" s="221" t="s">
        <v>1384</v>
      </c>
      <c r="D523" s="221" t="s">
        <v>1376</v>
      </c>
      <c r="E523" s="222">
        <v>38.6</v>
      </c>
      <c r="F523" s="223">
        <v>1.12</v>
      </c>
      <c r="G523" s="220" t="s">
        <v>1369</v>
      </c>
      <c r="H523" s="221" t="s">
        <v>1370</v>
      </c>
    </row>
    <row customHeight="true" ht="16.071428571428573" r="524">
      <c r="A524" s="220">
        <v>488</v>
      </c>
      <c r="B524" s="221" t="s">
        <v>1353</v>
      </c>
      <c r="C524" s="221" t="s">
        <v>1388</v>
      </c>
      <c r="D524" s="221" t="s">
        <v>1368</v>
      </c>
      <c r="E524" s="222">
        <v>42.7</v>
      </c>
      <c r="F524" s="223">
        <v>1.57</v>
      </c>
      <c r="G524" s="220" t="s">
        <v>1369</v>
      </c>
      <c r="H524" s="221" t="s">
        <v>1370</v>
      </c>
    </row>
    <row customHeight="true" ht="16.071428571428573" r="525">
      <c r="A525" s="220">
        <v>489</v>
      </c>
      <c r="B525" s="221" t="s">
        <v>1374</v>
      </c>
      <c r="C525" s="221" t="s">
        <v>1372</v>
      </c>
      <c r="D525" s="221" t="s">
        <v>1376</v>
      </c>
      <c r="E525" s="222">
        <v>41</v>
      </c>
      <c r="F525" s="223">
        <v>1.25</v>
      </c>
      <c r="G525" s="220" t="s">
        <v>1369</v>
      </c>
      <c r="H525" s="221" t="s">
        <v>1370</v>
      </c>
    </row>
    <row customHeight="true" ht="16.071428571428573" r="526">
      <c r="A526" s="220">
        <v>490</v>
      </c>
      <c r="B526" s="221" t="s">
        <v>1351</v>
      </c>
      <c r="C526" s="221" t="s">
        <v>1367</v>
      </c>
      <c r="D526" s="221" t="s">
        <v>1378</v>
      </c>
      <c r="E526" s="222">
        <v>45.7</v>
      </c>
      <c r="F526" s="223">
        <v>1.9</v>
      </c>
      <c r="G526" s="220" t="s">
        <v>1369</v>
      </c>
      <c r="H526" s="221" t="s">
        <v>1370</v>
      </c>
    </row>
    <row customHeight="true" ht="16.071428571428573" r="527">
      <c r="A527" s="220">
        <v>491</v>
      </c>
      <c r="B527" s="221" t="s">
        <v>1351</v>
      </c>
      <c r="C527" s="221" t="s">
        <v>1367</v>
      </c>
      <c r="D527" s="221" t="s">
        <v>1378</v>
      </c>
      <c r="E527" s="222">
        <v>41.1</v>
      </c>
      <c r="F527" s="223">
        <v>1.82</v>
      </c>
      <c r="G527" s="220" t="s">
        <v>1369</v>
      </c>
      <c r="H527" s="221" t="s">
        <v>1370</v>
      </c>
    </row>
    <row customHeight="true" ht="16.071428571428573" r="528">
      <c r="A528" s="220">
        <v>492</v>
      </c>
      <c r="B528" s="221" t="s">
        <v>1351</v>
      </c>
      <c r="C528" s="221" t="s">
        <v>1367</v>
      </c>
      <c r="D528" s="221" t="s">
        <v>1378</v>
      </c>
      <c r="E528" s="222">
        <v>45.6</v>
      </c>
      <c r="F528" s="223">
        <v>1.23</v>
      </c>
      <c r="G528" s="220" t="s">
        <v>1369</v>
      </c>
      <c r="H528" s="221" t="s">
        <v>1370</v>
      </c>
    </row>
    <row customHeight="true" ht="16.071428571428573" r="529">
      <c r="A529" s="220">
        <v>493</v>
      </c>
      <c r="B529" s="221" t="s">
        <v>1351</v>
      </c>
      <c r="C529" s="221" t="s">
        <v>1367</v>
      </c>
      <c r="D529" s="221" t="s">
        <v>1378</v>
      </c>
      <c r="E529" s="222">
        <v>42.9</v>
      </c>
      <c r="F529" s="223">
        <v>1.73</v>
      </c>
      <c r="G529" s="220" t="s">
        <v>1369</v>
      </c>
      <c r="H529" s="221" t="s">
        <v>1370</v>
      </c>
    </row>
    <row customHeight="true" ht="16.071428571428573" r="530">
      <c r="A530" s="220">
        <v>494</v>
      </c>
      <c r="B530" s="221" t="s">
        <v>1371</v>
      </c>
      <c r="C530" s="221" t="s">
        <v>1375</v>
      </c>
      <c r="D530" s="221" t="s">
        <v>1373</v>
      </c>
      <c r="E530" s="222">
        <v>41.5</v>
      </c>
      <c r="F530" s="223">
        <v>1.43</v>
      </c>
      <c r="G530" s="220" t="s">
        <v>1369</v>
      </c>
      <c r="H530" s="221" t="s">
        <v>1370</v>
      </c>
    </row>
    <row customHeight="true" ht="16.071428571428573" r="531">
      <c r="A531" s="220">
        <v>495</v>
      </c>
      <c r="B531" s="221" t="s">
        <v>1353</v>
      </c>
      <c r="C531" s="221" t="s">
        <v>1377</v>
      </c>
      <c r="D531" s="221" t="s">
        <v>1368</v>
      </c>
      <c r="E531" s="222">
        <v>45.1</v>
      </c>
      <c r="F531" s="223">
        <v>1.26</v>
      </c>
      <c r="G531" s="220" t="s">
        <v>1369</v>
      </c>
      <c r="H531" s="221" t="s">
        <v>1370</v>
      </c>
    </row>
    <row customHeight="true" ht="16.071428571428573" r="532">
      <c r="A532" s="220">
        <v>496</v>
      </c>
      <c r="B532" s="221" t="s">
        <v>1351</v>
      </c>
      <c r="C532" s="221" t="s">
        <v>1383</v>
      </c>
      <c r="D532" s="221" t="s">
        <v>1378</v>
      </c>
      <c r="E532" s="222">
        <v>36.4</v>
      </c>
      <c r="F532" s="223">
        <v>2.06</v>
      </c>
      <c r="G532" s="220" t="s">
        <v>1369</v>
      </c>
      <c r="H532" s="221" t="s">
        <v>1370</v>
      </c>
    </row>
    <row customHeight="true" ht="16.071428571428573" r="533">
      <c r="A533" s="220">
        <v>497</v>
      </c>
      <c r="B533" s="221" t="s">
        <v>1353</v>
      </c>
      <c r="C533" s="221" t="s">
        <v>1380</v>
      </c>
      <c r="D533" s="221" t="s">
        <v>1368</v>
      </c>
      <c r="E533" s="222">
        <v>37.4</v>
      </c>
      <c r="F533" s="223">
        <v>1.76</v>
      </c>
      <c r="G533" s="220" t="s">
        <v>1369</v>
      </c>
      <c r="H533" s="221" t="s">
        <v>1370</v>
      </c>
    </row>
    <row customHeight="true" ht="16.071428571428573" r="534">
      <c r="A534" s="220">
        <v>498</v>
      </c>
      <c r="B534" s="221" t="s">
        <v>1374</v>
      </c>
      <c r="C534" s="221" t="s">
        <v>1389</v>
      </c>
      <c r="D534" s="221" t="s">
        <v>1376</v>
      </c>
      <c r="E534" s="222">
        <v>42.8</v>
      </c>
      <c r="F534" s="223">
        <v>2</v>
      </c>
      <c r="G534" s="220" t="s">
        <v>1369</v>
      </c>
      <c r="H534" s="221" t="s">
        <v>1370</v>
      </c>
    </row>
    <row customHeight="true" ht="16.071428571428573" r="535">
      <c r="A535" s="220">
        <v>499</v>
      </c>
      <c r="B535" s="221" t="s">
        <v>1371</v>
      </c>
      <c r="C535" s="221" t="s">
        <v>1386</v>
      </c>
      <c r="D535" s="221" t="s">
        <v>1373</v>
      </c>
      <c r="E535" s="222">
        <v>40.2</v>
      </c>
      <c r="F535" s="223">
        <v>1.64</v>
      </c>
      <c r="G535" s="220" t="s">
        <v>1369</v>
      </c>
      <c r="H535" s="221" t="s">
        <v>1370</v>
      </c>
    </row>
    <row customHeight="true" ht="16.071428571428573" r="536">
      <c r="A536" s="220">
        <v>500</v>
      </c>
      <c r="B536" s="221" t="s">
        <v>1374</v>
      </c>
      <c r="C536" s="221" t="s">
        <v>1383</v>
      </c>
      <c r="D536" s="221" t="s">
        <v>1376</v>
      </c>
      <c r="E536" s="222">
        <v>37</v>
      </c>
      <c r="F536" s="223">
        <v>1.42</v>
      </c>
      <c r="G536" s="220" t="s">
        <v>1369</v>
      </c>
      <c r="H536" s="221" t="s">
        <v>1370</v>
      </c>
    </row>
    <row customHeight="true" ht="16.071428571428573" r="537">
      <c r="A537" s="220">
        <v>501</v>
      </c>
      <c r="B537" s="221" t="s">
        <v>1351</v>
      </c>
      <c r="C537" s="221" t="s">
        <v>1367</v>
      </c>
      <c r="D537" s="221" t="s">
        <v>1378</v>
      </c>
      <c r="E537" s="222">
        <v>37.3</v>
      </c>
      <c r="F537" s="223">
        <v>0.7</v>
      </c>
      <c r="G537" s="220" t="s">
        <v>1369</v>
      </c>
      <c r="H537" s="221" t="s">
        <v>1370</v>
      </c>
    </row>
    <row customHeight="true" ht="16.071428571428573" r="538">
      <c r="A538" s="220">
        <v>502</v>
      </c>
      <c r="B538" s="221" t="s">
        <v>1374</v>
      </c>
      <c r="C538" s="221" t="s">
        <v>1375</v>
      </c>
      <c r="D538" s="221" t="s">
        <v>1376</v>
      </c>
      <c r="E538" s="222">
        <v>43.6</v>
      </c>
      <c r="F538" s="223">
        <v>0.76</v>
      </c>
      <c r="G538" s="220" t="s">
        <v>1369</v>
      </c>
      <c r="H538" s="221" t="s">
        <v>1370</v>
      </c>
    </row>
    <row customHeight="true" ht="16.071428571428573" r="539">
      <c r="A539" s="220">
        <v>503</v>
      </c>
      <c r="B539" s="221" t="s">
        <v>1351</v>
      </c>
      <c r="C539" s="221" t="s">
        <v>1385</v>
      </c>
      <c r="D539" s="221" t="s">
        <v>1378</v>
      </c>
      <c r="E539" s="222">
        <v>41.5</v>
      </c>
      <c r="F539" s="223">
        <v>1.48</v>
      </c>
      <c r="G539" s="220" t="s">
        <v>1369</v>
      </c>
      <c r="H539" s="221" t="s">
        <v>1370</v>
      </c>
    </row>
    <row customHeight="true" ht="16.071428571428573" r="540">
      <c r="A540" s="220">
        <v>504</v>
      </c>
      <c r="B540" s="221" t="s">
        <v>1351</v>
      </c>
      <c r="C540" s="221" t="s">
        <v>1389</v>
      </c>
      <c r="D540" s="221" t="s">
        <v>1378</v>
      </c>
      <c r="E540" s="222">
        <v>44.7</v>
      </c>
      <c r="F540" s="223">
        <v>1.21</v>
      </c>
      <c r="G540" s="220" t="s">
        <v>1369</v>
      </c>
      <c r="H540" s="221" t="s">
        <v>1370</v>
      </c>
    </row>
    <row customHeight="true" ht="16.071428571428573" r="541">
      <c r="A541" s="220">
        <v>505</v>
      </c>
      <c r="B541" s="221" t="s">
        <v>1353</v>
      </c>
      <c r="C541" s="221" t="s">
        <v>1372</v>
      </c>
      <c r="D541" s="221" t="s">
        <v>1368</v>
      </c>
      <c r="E541" s="222">
        <v>36.2</v>
      </c>
      <c r="F541" s="223">
        <v>1.12</v>
      </c>
      <c r="G541" s="220" t="s">
        <v>1369</v>
      </c>
      <c r="H541" s="221" t="s">
        <v>1370</v>
      </c>
    </row>
    <row customHeight="true" ht="16.071428571428573" r="542">
      <c r="A542" s="220">
        <v>506</v>
      </c>
      <c r="B542" s="221" t="s">
        <v>1374</v>
      </c>
      <c r="C542" s="221" t="s">
        <v>1379</v>
      </c>
      <c r="D542" s="221" t="s">
        <v>1376</v>
      </c>
      <c r="E542" s="222">
        <v>43.8</v>
      </c>
      <c r="F542" s="223">
        <v>0.6</v>
      </c>
      <c r="G542" s="220" t="s">
        <v>1369</v>
      </c>
      <c r="H542" s="221" t="s">
        <v>1370</v>
      </c>
    </row>
    <row customHeight="true" ht="16.071428571428573" r="543">
      <c r="A543" s="220">
        <v>507</v>
      </c>
      <c r="B543" s="221" t="s">
        <v>1374</v>
      </c>
      <c r="C543" s="221" t="s">
        <v>1389</v>
      </c>
      <c r="D543" s="221" t="s">
        <v>1376</v>
      </c>
      <c r="E543" s="222">
        <v>37.7</v>
      </c>
      <c r="F543" s="223">
        <v>0.74</v>
      </c>
      <c r="G543" s="220" t="s">
        <v>1369</v>
      </c>
      <c r="H543" s="221" t="s">
        <v>1370</v>
      </c>
    </row>
    <row customHeight="true" ht="16.071428571428573" r="544">
      <c r="A544" s="220">
        <v>508</v>
      </c>
      <c r="B544" s="221" t="s">
        <v>1374</v>
      </c>
      <c r="C544" s="221" t="s">
        <v>1379</v>
      </c>
      <c r="D544" s="221" t="s">
        <v>1376</v>
      </c>
      <c r="E544" s="222">
        <v>39.8</v>
      </c>
      <c r="F544" s="223">
        <v>1.8</v>
      </c>
      <c r="G544" s="220" t="s">
        <v>1369</v>
      </c>
      <c r="H544" s="221" t="s">
        <v>1370</v>
      </c>
    </row>
    <row customHeight="true" ht="16.071428571428573" r="545">
      <c r="A545" s="220">
        <v>509</v>
      </c>
      <c r="B545" s="221" t="s">
        <v>1374</v>
      </c>
      <c r="C545" s="221" t="s">
        <v>1386</v>
      </c>
      <c r="D545" s="221" t="s">
        <v>1376</v>
      </c>
      <c r="E545" s="222">
        <v>41.4</v>
      </c>
      <c r="F545" s="223">
        <v>2.09</v>
      </c>
      <c r="G545" s="220" t="s">
        <v>1369</v>
      </c>
      <c r="H545" s="221" t="s">
        <v>1370</v>
      </c>
    </row>
    <row customHeight="true" ht="16.071428571428573" r="546">
      <c r="A546" s="220">
        <v>510</v>
      </c>
      <c r="B546" s="221" t="s">
        <v>1374</v>
      </c>
      <c r="C546" s="221" t="s">
        <v>1385</v>
      </c>
      <c r="D546" s="221" t="s">
        <v>1376</v>
      </c>
      <c r="E546" s="222">
        <v>42.4</v>
      </c>
      <c r="F546" s="223">
        <v>1.08</v>
      </c>
      <c r="G546" s="220" t="s">
        <v>1369</v>
      </c>
      <c r="H546" s="221" t="s">
        <v>1370</v>
      </c>
    </row>
    <row customHeight="true" ht="16.071428571428573" r="547">
      <c r="A547" s="220">
        <v>511</v>
      </c>
      <c r="B547" s="221" t="s">
        <v>1351</v>
      </c>
      <c r="C547" s="221" t="s">
        <v>1383</v>
      </c>
      <c r="D547" s="221" t="s">
        <v>1378</v>
      </c>
      <c r="E547" s="222">
        <v>37</v>
      </c>
      <c r="F547" s="223">
        <v>0.67</v>
      </c>
      <c r="G547" s="220" t="s">
        <v>1369</v>
      </c>
      <c r="H547" s="221" t="s">
        <v>1370</v>
      </c>
    </row>
    <row customHeight="true" ht="16.071428571428573" r="548">
      <c r="A548" s="220">
        <v>512</v>
      </c>
      <c r="B548" s="221" t="s">
        <v>1371</v>
      </c>
      <c r="C548" s="221" t="s">
        <v>1384</v>
      </c>
      <c r="D548" s="221" t="s">
        <v>1373</v>
      </c>
      <c r="E548" s="222">
        <v>37.2</v>
      </c>
      <c r="F548" s="223">
        <v>1.31</v>
      </c>
      <c r="G548" s="220" t="s">
        <v>1369</v>
      </c>
      <c r="H548" s="221" t="s">
        <v>1370</v>
      </c>
    </row>
    <row customHeight="true" ht="16.071428571428573" r="549">
      <c r="A549" s="220">
        <v>513</v>
      </c>
      <c r="B549" s="221" t="s">
        <v>1374</v>
      </c>
      <c r="C549" s="221" t="s">
        <v>1388</v>
      </c>
      <c r="D549" s="221" t="s">
        <v>1376</v>
      </c>
      <c r="E549" s="222">
        <v>45.4</v>
      </c>
      <c r="F549" s="223">
        <v>1.63</v>
      </c>
      <c r="G549" s="220" t="s">
        <v>1369</v>
      </c>
      <c r="H549" s="221" t="s">
        <v>1370</v>
      </c>
    </row>
    <row customHeight="true" ht="16.071428571428573" r="550">
      <c r="A550" s="220">
        <v>514</v>
      </c>
      <c r="B550" s="221" t="s">
        <v>1353</v>
      </c>
      <c r="C550" s="221" t="s">
        <v>1367</v>
      </c>
      <c r="D550" s="221" t="s">
        <v>1368</v>
      </c>
      <c r="E550" s="222">
        <v>38.7</v>
      </c>
      <c r="F550" s="223">
        <v>1.04</v>
      </c>
      <c r="G550" s="220" t="s">
        <v>1369</v>
      </c>
      <c r="H550" s="221" t="s">
        <v>1370</v>
      </c>
    </row>
    <row customHeight="true" ht="16.071428571428573" r="551">
      <c r="A551" s="220">
        <v>515</v>
      </c>
      <c r="B551" s="221" t="s">
        <v>1374</v>
      </c>
      <c r="C551" s="221" t="s">
        <v>1383</v>
      </c>
      <c r="D551" s="221" t="s">
        <v>1376</v>
      </c>
      <c r="E551" s="222">
        <v>37.2</v>
      </c>
      <c r="F551" s="223">
        <v>1.11</v>
      </c>
      <c r="G551" s="220" t="s">
        <v>1369</v>
      </c>
      <c r="H551" s="221" t="s">
        <v>1370</v>
      </c>
    </row>
    <row customHeight="true" ht="16.071428571428573" r="552">
      <c r="A552" s="220">
        <v>516</v>
      </c>
      <c r="B552" s="221" t="s">
        <v>1374</v>
      </c>
      <c r="C552" s="221" t="s">
        <v>1383</v>
      </c>
      <c r="D552" s="221" t="s">
        <v>1376</v>
      </c>
      <c r="E552" s="222">
        <v>44.1</v>
      </c>
      <c r="F552" s="223">
        <v>1.29</v>
      </c>
      <c r="G552" s="220" t="s">
        <v>1369</v>
      </c>
      <c r="H552" s="221" t="s">
        <v>1370</v>
      </c>
    </row>
    <row customHeight="true" ht="16.071428571428573" r="553">
      <c r="A553" s="220">
        <v>517</v>
      </c>
      <c r="B553" s="221" t="s">
        <v>1371</v>
      </c>
      <c r="C553" s="221" t="s">
        <v>1389</v>
      </c>
      <c r="D553" s="221" t="s">
        <v>1373</v>
      </c>
      <c r="E553" s="222">
        <v>41.8</v>
      </c>
      <c r="F553" s="223">
        <v>1.79</v>
      </c>
      <c r="G553" s="220" t="s">
        <v>1369</v>
      </c>
      <c r="H553" s="221" t="s">
        <v>1370</v>
      </c>
    </row>
    <row customHeight="true" ht="16.071428571428573" r="554">
      <c r="A554" s="220">
        <v>518</v>
      </c>
      <c r="B554" s="221" t="s">
        <v>1353</v>
      </c>
      <c r="C554" s="221" t="s">
        <v>1383</v>
      </c>
      <c r="D554" s="221" t="s">
        <v>1368</v>
      </c>
      <c r="E554" s="222">
        <v>38</v>
      </c>
      <c r="F554" s="223">
        <v>1.42</v>
      </c>
      <c r="G554" s="220" t="s">
        <v>1369</v>
      </c>
      <c r="H554" s="221" t="s">
        <v>1370</v>
      </c>
    </row>
    <row customHeight="true" ht="16.071428571428573" r="555">
      <c r="A555" s="220">
        <v>519</v>
      </c>
      <c r="B555" s="221" t="s">
        <v>1374</v>
      </c>
      <c r="C555" s="221" t="s">
        <v>1367</v>
      </c>
      <c r="D555" s="221" t="s">
        <v>1376</v>
      </c>
      <c r="E555" s="222">
        <v>41.7</v>
      </c>
      <c r="F555" s="223">
        <v>1.99</v>
      </c>
      <c r="G555" s="220" t="s">
        <v>1369</v>
      </c>
      <c r="H555" s="221" t="s">
        <v>1370</v>
      </c>
    </row>
    <row customHeight="true" ht="16.071428571428573" r="556">
      <c r="A556" s="220">
        <v>520</v>
      </c>
      <c r="B556" s="221" t="s">
        <v>1351</v>
      </c>
      <c r="C556" s="221" t="s">
        <v>1384</v>
      </c>
      <c r="D556" s="221" t="s">
        <v>1378</v>
      </c>
      <c r="E556" s="222">
        <v>43.3</v>
      </c>
      <c r="F556" s="223">
        <v>1.46</v>
      </c>
      <c r="G556" s="220" t="s">
        <v>1369</v>
      </c>
      <c r="H556" s="221" t="s">
        <v>1370</v>
      </c>
    </row>
    <row customHeight="true" ht="16.071428571428573" r="557">
      <c r="A557" s="220">
        <v>521</v>
      </c>
      <c r="B557" s="221" t="s">
        <v>1374</v>
      </c>
      <c r="C557" s="221" t="s">
        <v>1367</v>
      </c>
      <c r="D557" s="221" t="s">
        <v>1376</v>
      </c>
      <c r="E557" s="222">
        <v>43.1</v>
      </c>
      <c r="F557" s="223">
        <v>0.87</v>
      </c>
      <c r="G557" s="220" t="s">
        <v>1369</v>
      </c>
      <c r="H557" s="221" t="s">
        <v>1370</v>
      </c>
    </row>
    <row customHeight="true" ht="16.071428571428573" r="558">
      <c r="A558" s="220">
        <v>522</v>
      </c>
      <c r="B558" s="221" t="s">
        <v>1353</v>
      </c>
      <c r="C558" s="221" t="s">
        <v>1379</v>
      </c>
      <c r="D558" s="221" t="s">
        <v>1368</v>
      </c>
      <c r="E558" s="222">
        <v>38.5</v>
      </c>
      <c r="F558" s="223">
        <v>0.88</v>
      </c>
      <c r="G558" s="220" t="s">
        <v>1369</v>
      </c>
      <c r="H558" s="221" t="s">
        <v>1370</v>
      </c>
    </row>
    <row customHeight="true" ht="16.071428571428573" r="559">
      <c r="A559" s="220">
        <v>523</v>
      </c>
      <c r="B559" s="221" t="s">
        <v>1374</v>
      </c>
      <c r="C559" s="221" t="s">
        <v>1372</v>
      </c>
      <c r="D559" s="221" t="s">
        <v>1376</v>
      </c>
      <c r="E559" s="222">
        <v>41.4</v>
      </c>
      <c r="F559" s="223">
        <v>0.66</v>
      </c>
      <c r="G559" s="220" t="s">
        <v>1369</v>
      </c>
      <c r="H559" s="221" t="s">
        <v>1370</v>
      </c>
    </row>
    <row customHeight="true" ht="16.071428571428573" r="560">
      <c r="A560" s="220">
        <v>524</v>
      </c>
      <c r="B560" s="221" t="s">
        <v>1351</v>
      </c>
      <c r="C560" s="221" t="s">
        <v>1385</v>
      </c>
      <c r="D560" s="221" t="s">
        <v>1378</v>
      </c>
      <c r="E560" s="222">
        <v>43.6</v>
      </c>
      <c r="F560" s="223">
        <v>1.4</v>
      </c>
      <c r="G560" s="220" t="s">
        <v>1369</v>
      </c>
      <c r="H560" s="221" t="s">
        <v>1370</v>
      </c>
    </row>
    <row customHeight="true" ht="16.071428571428573" r="561">
      <c r="A561" s="220">
        <v>525</v>
      </c>
      <c r="B561" s="221" t="s">
        <v>1351</v>
      </c>
      <c r="C561" s="221" t="s">
        <v>1380</v>
      </c>
      <c r="D561" s="221" t="s">
        <v>1378</v>
      </c>
      <c r="E561" s="222">
        <v>44.9</v>
      </c>
      <c r="F561" s="223">
        <v>0.63</v>
      </c>
      <c r="G561" s="220" t="s">
        <v>1369</v>
      </c>
      <c r="H561" s="221" t="s">
        <v>1370</v>
      </c>
    </row>
    <row customHeight="true" ht="16.071428571428573" r="562">
      <c r="A562" s="220">
        <v>526</v>
      </c>
      <c r="B562" s="221" t="s">
        <v>1374</v>
      </c>
      <c r="C562" s="221" t="s">
        <v>1383</v>
      </c>
      <c r="D562" s="221" t="s">
        <v>1376</v>
      </c>
      <c r="E562" s="222">
        <v>43.8</v>
      </c>
      <c r="F562" s="223">
        <v>1.34</v>
      </c>
      <c r="G562" s="220" t="s">
        <v>1369</v>
      </c>
      <c r="H562" s="221" t="s">
        <v>1370</v>
      </c>
    </row>
    <row customHeight="true" ht="16.071428571428573" r="563">
      <c r="A563" s="220">
        <v>527</v>
      </c>
      <c r="B563" s="221" t="s">
        <v>1351</v>
      </c>
      <c r="C563" s="221" t="s">
        <v>1388</v>
      </c>
      <c r="D563" s="221" t="s">
        <v>1378</v>
      </c>
      <c r="E563" s="222">
        <v>36.6</v>
      </c>
      <c r="F563" s="223">
        <v>1.06</v>
      </c>
      <c r="G563" s="220" t="s">
        <v>1369</v>
      </c>
      <c r="H563" s="221" t="s">
        <v>1370</v>
      </c>
    </row>
    <row customHeight="true" ht="16.071428571428573" r="564">
      <c r="A564" s="220">
        <v>528</v>
      </c>
      <c r="B564" s="221" t="s">
        <v>1351</v>
      </c>
      <c r="C564" s="221" t="s">
        <v>1385</v>
      </c>
      <c r="D564" s="221" t="s">
        <v>1378</v>
      </c>
      <c r="E564" s="222">
        <v>43.3</v>
      </c>
      <c r="F564" s="223">
        <v>1.1</v>
      </c>
      <c r="G564" s="220" t="s">
        <v>1369</v>
      </c>
      <c r="H564" s="221" t="s">
        <v>1370</v>
      </c>
    </row>
    <row customHeight="true" ht="16.071428571428573" r="565">
      <c r="A565" s="220">
        <v>529</v>
      </c>
      <c r="B565" s="221" t="s">
        <v>1374</v>
      </c>
      <c r="C565" s="221" t="s">
        <v>1380</v>
      </c>
      <c r="D565" s="221" t="s">
        <v>1376</v>
      </c>
      <c r="E565" s="222">
        <v>40.3</v>
      </c>
      <c r="F565" s="223">
        <v>2.07</v>
      </c>
      <c r="G565" s="220" t="s">
        <v>1369</v>
      </c>
      <c r="H565" s="221" t="s">
        <v>1370</v>
      </c>
    </row>
    <row customHeight="true" ht="16.071428571428573" r="566">
      <c r="A566" s="220">
        <v>530</v>
      </c>
      <c r="B566" s="221" t="s">
        <v>1371</v>
      </c>
      <c r="C566" s="221" t="s">
        <v>1388</v>
      </c>
      <c r="D566" s="221" t="s">
        <v>1373</v>
      </c>
      <c r="E566" s="222">
        <v>38.4</v>
      </c>
      <c r="F566" s="223">
        <v>1.2</v>
      </c>
      <c r="G566" s="220" t="s">
        <v>1369</v>
      </c>
      <c r="H566" s="221" t="s">
        <v>1370</v>
      </c>
    </row>
    <row customHeight="true" ht="16.071428571428573" r="567">
      <c r="A567" s="220">
        <v>531</v>
      </c>
      <c r="B567" s="221" t="s">
        <v>1353</v>
      </c>
      <c r="C567" s="221" t="s">
        <v>1380</v>
      </c>
      <c r="D567" s="221" t="s">
        <v>1368</v>
      </c>
      <c r="E567" s="222">
        <v>40.7</v>
      </c>
      <c r="F567" s="223">
        <v>1.86</v>
      </c>
      <c r="G567" s="220" t="s">
        <v>1369</v>
      </c>
      <c r="H567" s="221" t="s">
        <v>1370</v>
      </c>
    </row>
    <row customHeight="true" ht="16.071428571428573" r="568">
      <c r="A568" s="220">
        <v>532</v>
      </c>
      <c r="B568" s="221" t="s">
        <v>1374</v>
      </c>
      <c r="C568" s="221" t="s">
        <v>1389</v>
      </c>
      <c r="D568" s="221" t="s">
        <v>1376</v>
      </c>
      <c r="E568" s="222">
        <v>40.2</v>
      </c>
      <c r="F568" s="223">
        <v>0.87</v>
      </c>
      <c r="G568" s="220" t="s">
        <v>1369</v>
      </c>
      <c r="H568" s="221" t="s">
        <v>1370</v>
      </c>
    </row>
    <row customHeight="true" ht="16.071428571428573" r="569">
      <c r="A569" s="220">
        <v>533</v>
      </c>
      <c r="B569" s="221" t="s">
        <v>1374</v>
      </c>
      <c r="C569" s="221" t="s">
        <v>1367</v>
      </c>
      <c r="D569" s="221" t="s">
        <v>1376</v>
      </c>
      <c r="E569" s="222">
        <v>43.6</v>
      </c>
      <c r="F569" s="223">
        <v>1.98</v>
      </c>
      <c r="G569" s="220" t="s">
        <v>1369</v>
      </c>
      <c r="H569" s="221" t="s">
        <v>1370</v>
      </c>
    </row>
    <row customHeight="true" ht="16.071428571428573" r="570">
      <c r="A570" s="220">
        <v>534</v>
      </c>
      <c r="B570" s="221" t="s">
        <v>1351</v>
      </c>
      <c r="C570" s="221" t="s">
        <v>1388</v>
      </c>
      <c r="D570" s="221" t="s">
        <v>1378</v>
      </c>
      <c r="E570" s="222">
        <v>41.9</v>
      </c>
      <c r="F570" s="223">
        <v>0.76</v>
      </c>
      <c r="G570" s="220" t="s">
        <v>1369</v>
      </c>
      <c r="H570" s="221" t="s">
        <v>1370</v>
      </c>
    </row>
    <row customHeight="true" ht="16.071428571428573" r="571">
      <c r="A571" s="220">
        <v>535</v>
      </c>
      <c r="B571" s="221" t="s">
        <v>1351</v>
      </c>
      <c r="C571" s="221" t="s">
        <v>1377</v>
      </c>
      <c r="D571" s="221" t="s">
        <v>1378</v>
      </c>
      <c r="E571" s="222">
        <v>36.6</v>
      </c>
      <c r="F571" s="223">
        <v>0.63</v>
      </c>
      <c r="G571" s="220" t="s">
        <v>1369</v>
      </c>
      <c r="H571" s="221" t="s">
        <v>1370</v>
      </c>
    </row>
    <row customHeight="true" ht="16.071428571428573" r="572">
      <c r="A572" s="220">
        <v>536</v>
      </c>
      <c r="B572" s="221" t="s">
        <v>1374</v>
      </c>
      <c r="C572" s="221" t="s">
        <v>1379</v>
      </c>
      <c r="D572" s="221" t="s">
        <v>1376</v>
      </c>
      <c r="E572" s="222">
        <v>39</v>
      </c>
      <c r="F572" s="223">
        <v>1.17</v>
      </c>
      <c r="G572" s="220" t="s">
        <v>1369</v>
      </c>
      <c r="H572" s="221" t="s">
        <v>1370</v>
      </c>
    </row>
    <row customHeight="true" ht="16.071428571428573" r="573">
      <c r="A573" s="220">
        <v>537</v>
      </c>
      <c r="B573" s="221" t="s">
        <v>1374</v>
      </c>
      <c r="C573" s="221" t="s">
        <v>1386</v>
      </c>
      <c r="D573" s="221" t="s">
        <v>1376</v>
      </c>
      <c r="E573" s="222">
        <v>42.5</v>
      </c>
      <c r="F573" s="223">
        <v>0.75</v>
      </c>
      <c r="G573" s="220" t="s">
        <v>1369</v>
      </c>
      <c r="H573" s="221" t="s">
        <v>1370</v>
      </c>
    </row>
    <row customHeight="true" ht="16.071428571428573" r="574">
      <c r="A574" s="220">
        <v>538</v>
      </c>
      <c r="B574" s="221" t="s">
        <v>1351</v>
      </c>
      <c r="C574" s="221" t="s">
        <v>1375</v>
      </c>
      <c r="D574" s="221" t="s">
        <v>1378</v>
      </c>
      <c r="E574" s="222">
        <v>38.3</v>
      </c>
      <c r="F574" s="223">
        <v>2</v>
      </c>
      <c r="G574" s="220" t="s">
        <v>1369</v>
      </c>
      <c r="H574" s="221" t="s">
        <v>1370</v>
      </c>
    </row>
    <row customHeight="true" ht="16.071428571428573" r="575">
      <c r="A575" s="220">
        <v>539</v>
      </c>
      <c r="B575" s="221" t="s">
        <v>1353</v>
      </c>
      <c r="C575" s="221" t="s">
        <v>1386</v>
      </c>
      <c r="D575" s="221" t="s">
        <v>1368</v>
      </c>
      <c r="E575" s="222">
        <v>43.2</v>
      </c>
      <c r="F575" s="223">
        <v>1.04</v>
      </c>
      <c r="G575" s="220" t="s">
        <v>1369</v>
      </c>
      <c r="H575" s="221" t="s">
        <v>1370</v>
      </c>
    </row>
    <row customHeight="true" ht="16.071428571428573" r="576">
      <c r="A576" s="220">
        <v>540</v>
      </c>
      <c r="B576" s="221" t="s">
        <v>1351</v>
      </c>
      <c r="C576" s="221" t="s">
        <v>1385</v>
      </c>
      <c r="D576" s="221" t="s">
        <v>1378</v>
      </c>
      <c r="E576" s="222">
        <v>39.3</v>
      </c>
      <c r="F576" s="223">
        <v>1.77</v>
      </c>
      <c r="G576" s="220" t="s">
        <v>1369</v>
      </c>
      <c r="H576" s="221" t="s">
        <v>1370</v>
      </c>
    </row>
    <row customHeight="true" ht="16.071428571428573" r="577">
      <c r="A577" s="220">
        <v>541</v>
      </c>
      <c r="B577" s="221" t="s">
        <v>1374</v>
      </c>
      <c r="C577" s="221" t="s">
        <v>1367</v>
      </c>
      <c r="D577" s="221" t="s">
        <v>1376</v>
      </c>
      <c r="E577" s="222">
        <v>36.3</v>
      </c>
      <c r="F577" s="223">
        <v>1.05</v>
      </c>
      <c r="G577" s="220" t="s">
        <v>1369</v>
      </c>
      <c r="H577" s="221" t="s">
        <v>1370</v>
      </c>
    </row>
    <row customHeight="true" ht="16.071428571428573" r="578">
      <c r="A578" s="220">
        <v>542</v>
      </c>
      <c r="B578" s="221" t="s">
        <v>1351</v>
      </c>
      <c r="C578" s="221" t="s">
        <v>1385</v>
      </c>
      <c r="D578" s="221" t="s">
        <v>1378</v>
      </c>
      <c r="E578" s="222">
        <v>43.4</v>
      </c>
      <c r="F578" s="223">
        <v>1.13</v>
      </c>
      <c r="G578" s="220" t="s">
        <v>1369</v>
      </c>
      <c r="H578" s="221" t="s">
        <v>1370</v>
      </c>
    </row>
    <row customHeight="true" ht="16.071428571428573" r="579">
      <c r="A579" s="220">
        <v>543</v>
      </c>
      <c r="B579" s="221" t="s">
        <v>1374</v>
      </c>
      <c r="C579" s="221" t="s">
        <v>1384</v>
      </c>
      <c r="D579" s="221" t="s">
        <v>1376</v>
      </c>
      <c r="E579" s="222">
        <v>37.6</v>
      </c>
      <c r="F579" s="223">
        <v>1.89</v>
      </c>
      <c r="G579" s="220" t="s">
        <v>1369</v>
      </c>
      <c r="H579" s="221" t="s">
        <v>1370</v>
      </c>
    </row>
    <row customHeight="true" ht="16.071428571428573" r="580">
      <c r="A580" s="220">
        <v>544</v>
      </c>
      <c r="B580" s="221" t="s">
        <v>1374</v>
      </c>
      <c r="C580" s="221" t="s">
        <v>1375</v>
      </c>
      <c r="D580" s="221" t="s">
        <v>1376</v>
      </c>
      <c r="E580" s="222">
        <v>45.3</v>
      </c>
      <c r="F580" s="223">
        <v>0.66</v>
      </c>
      <c r="G580" s="220" t="s">
        <v>1369</v>
      </c>
      <c r="H580" s="221" t="s">
        <v>1370</v>
      </c>
    </row>
    <row customHeight="true" ht="16.071428571428573" r="581">
      <c r="A581" s="220">
        <v>545</v>
      </c>
      <c r="B581" s="221" t="s">
        <v>1374</v>
      </c>
      <c r="C581" s="221" t="s">
        <v>1383</v>
      </c>
      <c r="D581" s="221" t="s">
        <v>1376</v>
      </c>
      <c r="E581" s="222">
        <v>38.2</v>
      </c>
      <c r="F581" s="223">
        <v>0.81</v>
      </c>
      <c r="G581" s="220" t="s">
        <v>1369</v>
      </c>
      <c r="H581" s="221" t="s">
        <v>1370</v>
      </c>
    </row>
    <row customHeight="true" ht="16.071428571428573" r="582">
      <c r="A582" s="220">
        <v>546</v>
      </c>
      <c r="B582" s="221" t="s">
        <v>1353</v>
      </c>
      <c r="C582" s="221" t="s">
        <v>1380</v>
      </c>
      <c r="D582" s="221" t="s">
        <v>1368</v>
      </c>
      <c r="E582" s="222">
        <v>36.5</v>
      </c>
      <c r="F582" s="223">
        <v>1.52</v>
      </c>
      <c r="G582" s="220" t="s">
        <v>1369</v>
      </c>
      <c r="H582" s="221" t="s">
        <v>1370</v>
      </c>
    </row>
    <row customHeight="true" ht="16.071428571428573" r="583">
      <c r="A583" s="220">
        <v>547</v>
      </c>
      <c r="B583" s="221" t="s">
        <v>1374</v>
      </c>
      <c r="C583" s="221" t="s">
        <v>1377</v>
      </c>
      <c r="D583" s="221" t="s">
        <v>1376</v>
      </c>
      <c r="E583" s="222">
        <v>40.4</v>
      </c>
      <c r="F583" s="223">
        <v>1.82</v>
      </c>
      <c r="G583" s="220" t="s">
        <v>1369</v>
      </c>
      <c r="H583" s="221" t="s">
        <v>1370</v>
      </c>
    </row>
    <row customHeight="true" ht="16.071428571428573" r="584">
      <c r="A584" s="220">
        <v>548</v>
      </c>
      <c r="B584" s="221" t="s">
        <v>1351</v>
      </c>
      <c r="C584" s="221" t="s">
        <v>1380</v>
      </c>
      <c r="D584" s="221" t="s">
        <v>1378</v>
      </c>
      <c r="E584" s="222">
        <v>38.1</v>
      </c>
      <c r="F584" s="223">
        <v>1.3</v>
      </c>
      <c r="G584" s="220" t="s">
        <v>1369</v>
      </c>
      <c r="H584" s="221" t="s">
        <v>1370</v>
      </c>
    </row>
    <row customHeight="true" ht="16.071428571428573" r="585">
      <c r="A585" s="220">
        <v>549</v>
      </c>
      <c r="B585" s="221" t="s">
        <v>1374</v>
      </c>
      <c r="C585" s="221" t="s">
        <v>1388</v>
      </c>
      <c r="D585" s="221" t="s">
        <v>1376</v>
      </c>
      <c r="E585" s="222">
        <v>43.9</v>
      </c>
      <c r="F585" s="223">
        <v>1.16</v>
      </c>
      <c r="G585" s="220" t="s">
        <v>1369</v>
      </c>
      <c r="H585" s="221" t="s">
        <v>1370</v>
      </c>
    </row>
    <row customHeight="true" ht="16.071428571428573" r="586">
      <c r="A586" s="220">
        <v>550</v>
      </c>
      <c r="B586" s="221" t="s">
        <v>1374</v>
      </c>
      <c r="C586" s="221" t="s">
        <v>1372</v>
      </c>
      <c r="D586" s="221" t="s">
        <v>1376</v>
      </c>
      <c r="E586" s="222">
        <v>40.6</v>
      </c>
      <c r="F586" s="223">
        <v>0.82</v>
      </c>
      <c r="G586" s="220" t="s">
        <v>1369</v>
      </c>
      <c r="H586" s="221" t="s">
        <v>1370</v>
      </c>
    </row>
    <row customHeight="true" ht="16.071428571428573" r="587">
      <c r="A587" s="220">
        <v>551</v>
      </c>
      <c r="B587" s="221" t="s">
        <v>1374</v>
      </c>
      <c r="C587" s="221" t="s">
        <v>1380</v>
      </c>
      <c r="D587" s="221" t="s">
        <v>1376</v>
      </c>
      <c r="E587" s="222">
        <v>49.1</v>
      </c>
      <c r="F587" s="223">
        <v>3.16</v>
      </c>
      <c r="G587" s="220" t="s">
        <v>1381</v>
      </c>
      <c r="H587" s="221" t="s">
        <v>1382</v>
      </c>
    </row>
    <row customHeight="true" ht="16.071428571428573" r="588">
      <c r="A588" s="220">
        <v>552</v>
      </c>
      <c r="B588" s="221" t="s">
        <v>1351</v>
      </c>
      <c r="C588" s="221" t="s">
        <v>1379</v>
      </c>
      <c r="D588" s="221" t="s">
        <v>1378</v>
      </c>
      <c r="E588" s="222">
        <v>44.6</v>
      </c>
      <c r="F588" s="223">
        <v>1.01</v>
      </c>
      <c r="G588" s="220" t="s">
        <v>1369</v>
      </c>
      <c r="H588" s="221" t="s">
        <v>1370</v>
      </c>
    </row>
    <row customHeight="true" ht="16.071428571428573" r="589">
      <c r="A589" s="220">
        <v>553</v>
      </c>
      <c r="B589" s="221" t="s">
        <v>1374</v>
      </c>
      <c r="C589" s="221" t="s">
        <v>1388</v>
      </c>
      <c r="D589" s="221" t="s">
        <v>1376</v>
      </c>
      <c r="E589" s="222">
        <v>38.2</v>
      </c>
      <c r="F589" s="223">
        <v>1.97</v>
      </c>
      <c r="G589" s="220" t="s">
        <v>1369</v>
      </c>
      <c r="H589" s="221" t="s">
        <v>1370</v>
      </c>
    </row>
    <row customHeight="true" ht="16.071428571428573" r="590">
      <c r="A590" s="220">
        <v>554</v>
      </c>
      <c r="B590" s="221" t="s">
        <v>1374</v>
      </c>
      <c r="C590" s="221" t="s">
        <v>1377</v>
      </c>
      <c r="D590" s="221" t="s">
        <v>1376</v>
      </c>
      <c r="E590" s="222">
        <v>43.2</v>
      </c>
      <c r="F590" s="223">
        <v>0.96</v>
      </c>
      <c r="G590" s="220" t="s">
        <v>1369</v>
      </c>
      <c r="H590" s="221" t="s">
        <v>1370</v>
      </c>
    </row>
    <row customHeight="true" ht="16.071428571428573" r="591">
      <c r="A591" s="220">
        <v>555</v>
      </c>
      <c r="B591" s="221" t="s">
        <v>1351</v>
      </c>
      <c r="C591" s="221" t="s">
        <v>1386</v>
      </c>
      <c r="D591" s="221" t="s">
        <v>1378</v>
      </c>
      <c r="E591" s="222">
        <v>40.7</v>
      </c>
      <c r="F591" s="223">
        <v>1.36</v>
      </c>
      <c r="G591" s="220" t="s">
        <v>1369</v>
      </c>
      <c r="H591" s="221" t="s">
        <v>1370</v>
      </c>
    </row>
    <row customHeight="true" ht="16.071428571428573" r="592">
      <c r="A592" s="220">
        <v>556</v>
      </c>
      <c r="B592" s="221" t="s">
        <v>1353</v>
      </c>
      <c r="C592" s="221" t="s">
        <v>1388</v>
      </c>
      <c r="D592" s="221" t="s">
        <v>1368</v>
      </c>
      <c r="E592" s="222">
        <v>55.3</v>
      </c>
      <c r="F592" s="223">
        <v>3.63</v>
      </c>
      <c r="G592" s="220" t="s">
        <v>1381</v>
      </c>
      <c r="H592" s="221" t="s">
        <v>1382</v>
      </c>
    </row>
    <row customHeight="true" ht="16.071428571428573" r="593">
      <c r="A593" s="220">
        <v>557</v>
      </c>
      <c r="B593" s="221" t="s">
        <v>1374</v>
      </c>
      <c r="C593" s="221" t="s">
        <v>1385</v>
      </c>
      <c r="D593" s="221" t="s">
        <v>1376</v>
      </c>
      <c r="E593" s="222">
        <v>43.7</v>
      </c>
      <c r="F593" s="223">
        <v>0.78</v>
      </c>
      <c r="G593" s="220" t="s">
        <v>1369</v>
      </c>
      <c r="H593" s="221" t="s">
        <v>1370</v>
      </c>
    </row>
    <row customHeight="true" ht="16.071428571428573" r="594">
      <c r="A594" s="220">
        <v>558</v>
      </c>
      <c r="B594" s="221" t="s">
        <v>1374</v>
      </c>
      <c r="C594" s="221" t="s">
        <v>1375</v>
      </c>
      <c r="D594" s="221" t="s">
        <v>1376</v>
      </c>
      <c r="E594" s="222">
        <v>43.8</v>
      </c>
      <c r="F594" s="223">
        <v>1.19</v>
      </c>
      <c r="G594" s="220" t="s">
        <v>1369</v>
      </c>
      <c r="H594" s="221" t="s">
        <v>1370</v>
      </c>
    </row>
    <row customHeight="true" ht="16.071428571428573" r="595">
      <c r="A595" s="220">
        <v>559</v>
      </c>
      <c r="B595" s="221" t="s">
        <v>1371</v>
      </c>
      <c r="C595" s="221" t="s">
        <v>1383</v>
      </c>
      <c r="D595" s="221" t="s">
        <v>1373</v>
      </c>
      <c r="E595" s="222">
        <v>41.8</v>
      </c>
      <c r="F595" s="223">
        <v>0.73</v>
      </c>
      <c r="G595" s="220" t="s">
        <v>1369</v>
      </c>
      <c r="H595" s="221" t="s">
        <v>1370</v>
      </c>
    </row>
    <row customHeight="true" ht="16.071428571428573" r="596">
      <c r="A596" s="220">
        <v>560</v>
      </c>
      <c r="B596" s="221" t="s">
        <v>1374</v>
      </c>
      <c r="C596" s="221" t="s">
        <v>1385</v>
      </c>
      <c r="D596" s="221" t="s">
        <v>1376</v>
      </c>
      <c r="E596" s="222">
        <v>39.2</v>
      </c>
      <c r="F596" s="223">
        <v>1.45</v>
      </c>
      <c r="G596" s="220" t="s">
        <v>1369</v>
      </c>
      <c r="H596" s="221" t="s">
        <v>1370</v>
      </c>
    </row>
    <row customHeight="true" ht="16.071428571428573" r="597">
      <c r="A597" s="220">
        <v>561</v>
      </c>
      <c r="B597" s="221" t="s">
        <v>1351</v>
      </c>
      <c r="C597" s="221" t="s">
        <v>1389</v>
      </c>
      <c r="D597" s="221" t="s">
        <v>1378</v>
      </c>
      <c r="E597" s="222">
        <v>40.8</v>
      </c>
      <c r="F597" s="223">
        <v>1.87</v>
      </c>
      <c r="G597" s="220" t="s">
        <v>1369</v>
      </c>
      <c r="H597" s="221" t="s">
        <v>1370</v>
      </c>
    </row>
    <row customHeight="true" ht="16.071428571428573" r="598">
      <c r="A598" s="220">
        <v>562</v>
      </c>
      <c r="B598" s="221" t="s">
        <v>1371</v>
      </c>
      <c r="C598" s="221" t="s">
        <v>1384</v>
      </c>
      <c r="D598" s="221" t="s">
        <v>1373</v>
      </c>
      <c r="E598" s="222">
        <v>38.6</v>
      </c>
      <c r="F598" s="223">
        <v>1.02</v>
      </c>
      <c r="G598" s="220" t="s">
        <v>1369</v>
      </c>
      <c r="H598" s="221" t="s">
        <v>1370</v>
      </c>
    </row>
    <row customHeight="true" ht="16.071428571428573" r="599">
      <c r="A599" s="220">
        <v>563</v>
      </c>
      <c r="B599" s="221" t="s">
        <v>1351</v>
      </c>
      <c r="C599" s="221" t="s">
        <v>1372</v>
      </c>
      <c r="D599" s="221" t="s">
        <v>1378</v>
      </c>
      <c r="E599" s="222">
        <v>37.8</v>
      </c>
      <c r="F599" s="223">
        <v>1.13</v>
      </c>
      <c r="G599" s="220" t="s">
        <v>1369</v>
      </c>
      <c r="H599" s="221" t="s">
        <v>1370</v>
      </c>
    </row>
    <row customHeight="true" ht="16.071428571428573" r="600">
      <c r="A600" s="220">
        <v>564</v>
      </c>
      <c r="B600" s="221" t="s">
        <v>1374</v>
      </c>
      <c r="C600" s="221" t="s">
        <v>1367</v>
      </c>
      <c r="D600" s="221" t="s">
        <v>1376</v>
      </c>
      <c r="E600" s="222">
        <v>45</v>
      </c>
      <c r="F600" s="223">
        <v>1.04</v>
      </c>
      <c r="G600" s="220" t="s">
        <v>1369</v>
      </c>
      <c r="H600" s="221" t="s">
        <v>1370</v>
      </c>
    </row>
    <row customHeight="true" ht="16.071428571428573" r="601">
      <c r="A601" s="220">
        <v>565</v>
      </c>
      <c r="B601" s="221" t="s">
        <v>1371</v>
      </c>
      <c r="C601" s="221" t="s">
        <v>1367</v>
      </c>
      <c r="D601" s="221" t="s">
        <v>1373</v>
      </c>
      <c r="E601" s="222">
        <v>36.3</v>
      </c>
      <c r="F601" s="223">
        <v>0.7</v>
      </c>
      <c r="G601" s="220" t="s">
        <v>1369</v>
      </c>
      <c r="H601" s="221" t="s">
        <v>1370</v>
      </c>
    </row>
    <row customHeight="true" ht="16.071428571428573" r="602">
      <c r="A602" s="220">
        <v>566</v>
      </c>
      <c r="B602" s="221" t="s">
        <v>1351</v>
      </c>
      <c r="C602" s="221" t="s">
        <v>1379</v>
      </c>
      <c r="D602" s="221" t="s">
        <v>1378</v>
      </c>
      <c r="E602" s="222">
        <v>37.8</v>
      </c>
      <c r="F602" s="223">
        <v>1.62</v>
      </c>
      <c r="G602" s="220" t="s">
        <v>1369</v>
      </c>
      <c r="H602" s="221" t="s">
        <v>1370</v>
      </c>
    </row>
    <row customHeight="true" ht="16.071428571428573" r="603">
      <c r="A603" s="220">
        <v>567</v>
      </c>
      <c r="B603" s="221" t="s">
        <v>1374</v>
      </c>
      <c r="C603" s="221" t="s">
        <v>1384</v>
      </c>
      <c r="D603" s="221" t="s">
        <v>1376</v>
      </c>
      <c r="E603" s="222">
        <v>44.3</v>
      </c>
      <c r="F603" s="223">
        <v>1.36</v>
      </c>
      <c r="G603" s="220" t="s">
        <v>1369</v>
      </c>
      <c r="H603" s="221" t="s">
        <v>1370</v>
      </c>
    </row>
    <row customHeight="true" ht="16.071428571428573" r="604">
      <c r="A604" s="220">
        <v>568</v>
      </c>
      <c r="B604" s="221" t="s">
        <v>1351</v>
      </c>
      <c r="C604" s="221" t="s">
        <v>1367</v>
      </c>
      <c r="D604" s="221" t="s">
        <v>1378</v>
      </c>
      <c r="E604" s="222">
        <v>39</v>
      </c>
      <c r="F604" s="223">
        <v>0.73</v>
      </c>
      <c r="G604" s="220" t="s">
        <v>1369</v>
      </c>
      <c r="H604" s="221" t="s">
        <v>1370</v>
      </c>
    </row>
    <row customHeight="true" ht="16.071428571428573" r="605">
      <c r="A605" s="220">
        <v>569</v>
      </c>
      <c r="B605" s="221" t="s">
        <v>1374</v>
      </c>
      <c r="C605" s="221" t="s">
        <v>1383</v>
      </c>
      <c r="D605" s="221" t="s">
        <v>1376</v>
      </c>
      <c r="E605" s="222">
        <v>45</v>
      </c>
      <c r="F605" s="223">
        <v>0.73</v>
      </c>
      <c r="G605" s="220" t="s">
        <v>1369</v>
      </c>
      <c r="H605" s="221" t="s">
        <v>1370</v>
      </c>
    </row>
    <row customHeight="true" ht="16.071428571428573" r="606">
      <c r="A606" s="220">
        <v>570</v>
      </c>
      <c r="B606" s="221" t="s">
        <v>1353</v>
      </c>
      <c r="C606" s="221" t="s">
        <v>1383</v>
      </c>
      <c r="D606" s="221" t="s">
        <v>1368</v>
      </c>
      <c r="E606" s="222">
        <v>44.2</v>
      </c>
      <c r="F606" s="223">
        <v>1.08</v>
      </c>
      <c r="G606" s="220" t="s">
        <v>1369</v>
      </c>
      <c r="H606" s="221" t="s">
        <v>1370</v>
      </c>
    </row>
    <row customHeight="true" ht="16.071428571428573" r="607">
      <c r="A607" s="220">
        <v>571</v>
      </c>
      <c r="B607" s="221" t="s">
        <v>1353</v>
      </c>
      <c r="C607" s="221" t="s">
        <v>1383</v>
      </c>
      <c r="D607" s="221" t="s">
        <v>1368</v>
      </c>
      <c r="E607" s="222">
        <v>36.3</v>
      </c>
      <c r="F607" s="223">
        <v>2.05</v>
      </c>
      <c r="G607" s="220" t="s">
        <v>1369</v>
      </c>
      <c r="H607" s="221" t="s">
        <v>1370</v>
      </c>
    </row>
    <row customHeight="true" ht="16.071428571428573" r="608">
      <c r="A608" s="220">
        <v>572</v>
      </c>
      <c r="B608" s="221" t="s">
        <v>1371</v>
      </c>
      <c r="C608" s="221" t="s">
        <v>1380</v>
      </c>
      <c r="D608" s="221" t="s">
        <v>1373</v>
      </c>
      <c r="E608" s="222">
        <v>45.4</v>
      </c>
      <c r="F608" s="223">
        <v>1.34</v>
      </c>
      <c r="G608" s="220" t="s">
        <v>1369</v>
      </c>
      <c r="H608" s="221" t="s">
        <v>1370</v>
      </c>
    </row>
    <row customHeight="true" ht="16.071428571428573" r="609">
      <c r="A609" s="220">
        <v>573</v>
      </c>
      <c r="B609" s="221" t="s">
        <v>1353</v>
      </c>
      <c r="C609" s="221" t="s">
        <v>1380</v>
      </c>
      <c r="D609" s="221" t="s">
        <v>1368</v>
      </c>
      <c r="E609" s="222">
        <v>39.9</v>
      </c>
      <c r="F609" s="223">
        <v>1.5</v>
      </c>
      <c r="G609" s="220" t="s">
        <v>1369</v>
      </c>
      <c r="H609" s="221" t="s">
        <v>1370</v>
      </c>
    </row>
    <row customHeight="true" ht="16.071428571428573" r="610">
      <c r="A610" s="220">
        <v>574</v>
      </c>
      <c r="B610" s="221" t="s">
        <v>1374</v>
      </c>
      <c r="C610" s="221" t="s">
        <v>1367</v>
      </c>
      <c r="D610" s="221" t="s">
        <v>1376</v>
      </c>
      <c r="E610" s="222">
        <v>38.2</v>
      </c>
      <c r="F610" s="223">
        <v>1.53</v>
      </c>
      <c r="G610" s="220" t="s">
        <v>1369</v>
      </c>
      <c r="H610" s="221" t="s">
        <v>1370</v>
      </c>
    </row>
    <row customHeight="true" ht="16.071428571428573" r="611">
      <c r="A611" s="220">
        <v>575</v>
      </c>
      <c r="B611" s="221" t="s">
        <v>1374</v>
      </c>
      <c r="C611" s="221" t="s">
        <v>1367</v>
      </c>
      <c r="D611" s="221" t="s">
        <v>1376</v>
      </c>
      <c r="E611" s="222">
        <v>37.5</v>
      </c>
      <c r="F611" s="223">
        <v>1.47</v>
      </c>
      <c r="G611" s="220" t="s">
        <v>1369</v>
      </c>
      <c r="H611" s="221" t="s">
        <v>1370</v>
      </c>
    </row>
    <row customHeight="true" ht="16.071428571428573" r="612">
      <c r="A612" s="220">
        <v>576</v>
      </c>
      <c r="B612" s="221" t="s">
        <v>1374</v>
      </c>
      <c r="C612" s="221" t="s">
        <v>1375</v>
      </c>
      <c r="D612" s="221" t="s">
        <v>1376</v>
      </c>
      <c r="E612" s="222">
        <v>40.6</v>
      </c>
      <c r="F612" s="223">
        <v>1.44</v>
      </c>
      <c r="G612" s="220" t="s">
        <v>1369</v>
      </c>
      <c r="H612" s="221" t="s">
        <v>1370</v>
      </c>
    </row>
    <row customHeight="true" ht="16.071428571428573" r="613">
      <c r="A613" s="220">
        <v>577</v>
      </c>
      <c r="B613" s="221" t="s">
        <v>1371</v>
      </c>
      <c r="C613" s="221" t="s">
        <v>1379</v>
      </c>
      <c r="D613" s="221" t="s">
        <v>1373</v>
      </c>
      <c r="E613" s="222">
        <v>43.6</v>
      </c>
      <c r="F613" s="223">
        <v>1.12</v>
      </c>
      <c r="G613" s="220" t="s">
        <v>1369</v>
      </c>
      <c r="H613" s="221" t="s">
        <v>1370</v>
      </c>
    </row>
    <row customHeight="true" ht="16.071428571428573" r="614">
      <c r="A614" s="220">
        <v>578</v>
      </c>
      <c r="B614" s="221" t="s">
        <v>1371</v>
      </c>
      <c r="C614" s="221" t="s">
        <v>1379</v>
      </c>
      <c r="D614" s="221" t="s">
        <v>1373</v>
      </c>
      <c r="E614" s="222">
        <v>42.8</v>
      </c>
      <c r="F614" s="223">
        <v>0.94</v>
      </c>
      <c r="G614" s="220" t="s">
        <v>1369</v>
      </c>
      <c r="H614" s="221" t="s">
        <v>1370</v>
      </c>
    </row>
    <row customHeight="true" ht="16.071428571428573" r="615">
      <c r="A615" s="220">
        <v>579</v>
      </c>
      <c r="B615" s="221" t="s">
        <v>1353</v>
      </c>
      <c r="C615" s="221" t="s">
        <v>1383</v>
      </c>
      <c r="D615" s="221" t="s">
        <v>1368</v>
      </c>
      <c r="E615" s="222">
        <v>40.8</v>
      </c>
      <c r="F615" s="223">
        <v>1.72</v>
      </c>
      <c r="G615" s="220" t="s">
        <v>1369</v>
      </c>
      <c r="H615" s="221" t="s">
        <v>1370</v>
      </c>
    </row>
    <row customHeight="true" ht="16.071428571428573" r="616">
      <c r="A616" s="220">
        <v>580</v>
      </c>
      <c r="B616" s="221" t="s">
        <v>1374</v>
      </c>
      <c r="C616" s="221" t="s">
        <v>1379</v>
      </c>
      <c r="D616" s="221" t="s">
        <v>1376</v>
      </c>
      <c r="E616" s="222">
        <v>42.5</v>
      </c>
      <c r="F616" s="223">
        <v>1.49</v>
      </c>
      <c r="G616" s="220" t="s">
        <v>1369</v>
      </c>
      <c r="H616" s="221" t="s">
        <v>1370</v>
      </c>
    </row>
    <row customHeight="true" ht="16.071428571428573" r="617">
      <c r="A617" s="220">
        <v>581</v>
      </c>
      <c r="B617" s="221" t="s">
        <v>1351</v>
      </c>
      <c r="C617" s="221" t="s">
        <v>1386</v>
      </c>
      <c r="D617" s="221" t="s">
        <v>1378</v>
      </c>
      <c r="E617" s="222">
        <v>38.5</v>
      </c>
      <c r="F617" s="223">
        <v>0.62</v>
      </c>
      <c r="G617" s="220" t="s">
        <v>1369</v>
      </c>
      <c r="H617" s="221" t="s">
        <v>1370</v>
      </c>
    </row>
    <row customHeight="true" ht="16.071428571428573" r="618">
      <c r="A618" s="220">
        <v>582</v>
      </c>
      <c r="B618" s="221" t="s">
        <v>1353</v>
      </c>
      <c r="C618" s="221" t="s">
        <v>1377</v>
      </c>
      <c r="D618" s="221" t="s">
        <v>1368</v>
      </c>
      <c r="E618" s="222">
        <v>41.3</v>
      </c>
      <c r="F618" s="223">
        <v>1.98</v>
      </c>
      <c r="G618" s="220" t="s">
        <v>1369</v>
      </c>
      <c r="H618" s="221" t="s">
        <v>1370</v>
      </c>
    </row>
    <row customHeight="true" ht="16.071428571428573" r="619">
      <c r="A619" s="220">
        <v>583</v>
      </c>
      <c r="B619" s="221" t="s">
        <v>1374</v>
      </c>
      <c r="C619" s="221" t="s">
        <v>1384</v>
      </c>
      <c r="D619" s="221" t="s">
        <v>1376</v>
      </c>
      <c r="E619" s="222">
        <v>43.3</v>
      </c>
      <c r="F619" s="223">
        <v>0.59</v>
      </c>
      <c r="G619" s="220" t="s">
        <v>1369</v>
      </c>
      <c r="H619" s="221" t="s">
        <v>1370</v>
      </c>
    </row>
    <row customHeight="true" ht="16.071428571428573" r="620">
      <c r="A620" s="220">
        <v>584</v>
      </c>
      <c r="B620" s="221" t="s">
        <v>1374</v>
      </c>
      <c r="C620" s="221" t="s">
        <v>1377</v>
      </c>
      <c r="D620" s="221" t="s">
        <v>1376</v>
      </c>
      <c r="E620" s="222">
        <v>36.4</v>
      </c>
      <c r="F620" s="223">
        <v>1.17</v>
      </c>
      <c r="G620" s="220" t="s">
        <v>1369</v>
      </c>
      <c r="H620" s="221" t="s">
        <v>1370</v>
      </c>
    </row>
    <row customHeight="true" ht="16.071428571428573" r="621">
      <c r="A621" s="220">
        <v>585</v>
      </c>
      <c r="B621" s="221" t="s">
        <v>1371</v>
      </c>
      <c r="C621" s="221" t="s">
        <v>1380</v>
      </c>
      <c r="D621" s="221" t="s">
        <v>1373</v>
      </c>
      <c r="E621" s="222">
        <v>36.5</v>
      </c>
      <c r="F621" s="223">
        <v>1.52</v>
      </c>
      <c r="G621" s="220" t="s">
        <v>1369</v>
      </c>
      <c r="H621" s="221" t="s">
        <v>1370</v>
      </c>
    </row>
    <row customHeight="true" ht="16.071428571428573" r="622">
      <c r="A622" s="220">
        <v>586</v>
      </c>
      <c r="B622" s="221" t="s">
        <v>1374</v>
      </c>
      <c r="C622" s="221" t="s">
        <v>1384</v>
      </c>
      <c r="D622" s="221" t="s">
        <v>1376</v>
      </c>
      <c r="E622" s="222">
        <v>36.4</v>
      </c>
      <c r="F622" s="223">
        <v>0.61</v>
      </c>
      <c r="G622" s="220" t="s">
        <v>1369</v>
      </c>
      <c r="H622" s="221" t="s">
        <v>1370</v>
      </c>
    </row>
    <row customHeight="true" ht="16.071428571428573" r="623">
      <c r="A623" s="220">
        <v>587</v>
      </c>
      <c r="B623" s="221" t="s">
        <v>1374</v>
      </c>
      <c r="C623" s="221" t="s">
        <v>1386</v>
      </c>
      <c r="D623" s="221" t="s">
        <v>1376</v>
      </c>
      <c r="E623" s="222">
        <v>39.5</v>
      </c>
      <c r="F623" s="223">
        <v>1.09</v>
      </c>
      <c r="G623" s="220" t="s">
        <v>1369</v>
      </c>
      <c r="H623" s="221" t="s">
        <v>1370</v>
      </c>
    </row>
    <row customHeight="true" ht="16.071428571428573" r="624">
      <c r="A624" s="220">
        <v>588</v>
      </c>
      <c r="B624" s="221" t="s">
        <v>1374</v>
      </c>
      <c r="C624" s="221" t="s">
        <v>1384</v>
      </c>
      <c r="D624" s="221" t="s">
        <v>1376</v>
      </c>
      <c r="E624" s="222">
        <v>39</v>
      </c>
      <c r="F624" s="223">
        <v>0.64</v>
      </c>
      <c r="G624" s="220" t="s">
        <v>1369</v>
      </c>
      <c r="H624" s="221" t="s">
        <v>1370</v>
      </c>
    </row>
    <row customHeight="true" ht="16.071428571428573" r="625">
      <c r="A625" s="220">
        <v>589</v>
      </c>
      <c r="B625" s="221" t="s">
        <v>1374</v>
      </c>
      <c r="C625" s="221" t="s">
        <v>1367</v>
      </c>
      <c r="D625" s="221" t="s">
        <v>1376</v>
      </c>
      <c r="E625" s="222">
        <v>55.2</v>
      </c>
      <c r="F625" s="223">
        <v>3.04</v>
      </c>
      <c r="G625" s="220" t="s">
        <v>1381</v>
      </c>
      <c r="H625" s="221" t="s">
        <v>1387</v>
      </c>
    </row>
    <row customHeight="true" ht="16.071428571428573" r="626">
      <c r="A626" s="220">
        <v>590</v>
      </c>
      <c r="B626" s="221" t="s">
        <v>1351</v>
      </c>
      <c r="C626" s="221" t="s">
        <v>1385</v>
      </c>
      <c r="D626" s="221" t="s">
        <v>1378</v>
      </c>
      <c r="E626" s="222">
        <v>38.8</v>
      </c>
      <c r="F626" s="223">
        <v>0.59</v>
      </c>
      <c r="G626" s="220" t="s">
        <v>1369</v>
      </c>
      <c r="H626" s="221" t="s">
        <v>1370</v>
      </c>
    </row>
    <row customHeight="true" ht="16.071428571428573" r="627">
      <c r="A627" s="220">
        <v>591</v>
      </c>
      <c r="B627" s="221" t="s">
        <v>1374</v>
      </c>
      <c r="C627" s="221" t="s">
        <v>1384</v>
      </c>
      <c r="D627" s="221" t="s">
        <v>1376</v>
      </c>
      <c r="E627" s="222">
        <v>45.6</v>
      </c>
      <c r="F627" s="223">
        <v>2.05</v>
      </c>
      <c r="G627" s="220" t="s">
        <v>1369</v>
      </c>
      <c r="H627" s="221" t="s">
        <v>1370</v>
      </c>
    </row>
    <row customHeight="true" ht="16.071428571428573" r="628">
      <c r="A628" s="220">
        <v>592</v>
      </c>
      <c r="B628" s="221" t="s">
        <v>1351</v>
      </c>
      <c r="C628" s="221" t="s">
        <v>1388</v>
      </c>
      <c r="D628" s="221" t="s">
        <v>1378</v>
      </c>
      <c r="E628" s="222">
        <v>44.6</v>
      </c>
      <c r="F628" s="223">
        <v>0.8</v>
      </c>
      <c r="G628" s="220" t="s">
        <v>1369</v>
      </c>
      <c r="H628" s="221" t="s">
        <v>1370</v>
      </c>
    </row>
    <row customHeight="true" ht="16.071428571428573" r="629">
      <c r="A629" s="220">
        <v>593</v>
      </c>
      <c r="B629" s="221" t="s">
        <v>1353</v>
      </c>
      <c r="C629" s="221" t="s">
        <v>1372</v>
      </c>
      <c r="D629" s="221" t="s">
        <v>1368</v>
      </c>
      <c r="E629" s="222">
        <v>37.1</v>
      </c>
      <c r="F629" s="223">
        <v>1.53</v>
      </c>
      <c r="G629" s="220" t="s">
        <v>1369</v>
      </c>
      <c r="H629" s="221" t="s">
        <v>1370</v>
      </c>
    </row>
    <row customHeight="true" ht="16.071428571428573" r="630">
      <c r="A630" s="220">
        <v>594</v>
      </c>
      <c r="B630" s="221" t="s">
        <v>1374</v>
      </c>
      <c r="C630" s="221" t="s">
        <v>1377</v>
      </c>
      <c r="D630" s="221" t="s">
        <v>1376</v>
      </c>
      <c r="E630" s="222">
        <v>38</v>
      </c>
      <c r="F630" s="223">
        <v>1.64</v>
      </c>
      <c r="G630" s="220" t="s">
        <v>1369</v>
      </c>
      <c r="H630" s="221" t="s">
        <v>1370</v>
      </c>
    </row>
    <row customHeight="true" ht="16.071428571428573" r="631">
      <c r="A631" s="220">
        <v>595</v>
      </c>
      <c r="B631" s="221" t="s">
        <v>1353</v>
      </c>
      <c r="C631" s="221" t="s">
        <v>1379</v>
      </c>
      <c r="D631" s="221" t="s">
        <v>1368</v>
      </c>
      <c r="E631" s="222">
        <v>45.5</v>
      </c>
      <c r="F631" s="223">
        <v>0.53</v>
      </c>
      <c r="G631" s="220" t="s">
        <v>1369</v>
      </c>
      <c r="H631" s="221" t="s">
        <v>1370</v>
      </c>
    </row>
    <row customHeight="true" ht="16.071428571428573" r="632">
      <c r="A632" s="220">
        <v>596</v>
      </c>
      <c r="B632" s="221" t="s">
        <v>1374</v>
      </c>
      <c r="C632" s="221" t="s">
        <v>1383</v>
      </c>
      <c r="D632" s="221" t="s">
        <v>1376</v>
      </c>
      <c r="E632" s="222">
        <v>36.5</v>
      </c>
      <c r="F632" s="223">
        <v>1.13</v>
      </c>
      <c r="G632" s="220" t="s">
        <v>1369</v>
      </c>
      <c r="H632" s="221" t="s">
        <v>1370</v>
      </c>
    </row>
    <row customHeight="true" ht="16.071428571428573" r="633">
      <c r="A633" s="220">
        <v>597</v>
      </c>
      <c r="B633" s="221" t="s">
        <v>1353</v>
      </c>
      <c r="C633" s="221" t="s">
        <v>1375</v>
      </c>
      <c r="D633" s="221" t="s">
        <v>1368</v>
      </c>
      <c r="E633" s="222">
        <v>41.4</v>
      </c>
      <c r="F633" s="223">
        <v>1.22</v>
      </c>
      <c r="G633" s="220" t="s">
        <v>1369</v>
      </c>
      <c r="H633" s="221" t="s">
        <v>1370</v>
      </c>
    </row>
    <row customHeight="true" ht="16.071428571428573" r="634">
      <c r="A634" s="220">
        <v>598</v>
      </c>
      <c r="B634" s="221" t="s">
        <v>1353</v>
      </c>
      <c r="C634" s="221" t="s">
        <v>1388</v>
      </c>
      <c r="D634" s="221" t="s">
        <v>1368</v>
      </c>
      <c r="E634" s="222">
        <v>36.3</v>
      </c>
      <c r="F634" s="223">
        <v>1.67</v>
      </c>
      <c r="G634" s="220" t="s">
        <v>1369</v>
      </c>
      <c r="H634" s="221" t="s">
        <v>1370</v>
      </c>
    </row>
    <row customHeight="true" ht="16.071428571428573" r="635">
      <c r="A635" s="220">
        <v>599</v>
      </c>
      <c r="B635" s="221" t="s">
        <v>1351</v>
      </c>
      <c r="C635" s="221" t="s">
        <v>1385</v>
      </c>
      <c r="D635" s="221" t="s">
        <v>1378</v>
      </c>
      <c r="E635" s="222">
        <v>40.5</v>
      </c>
      <c r="F635" s="223">
        <v>1.59</v>
      </c>
      <c r="G635" s="220" t="s">
        <v>1369</v>
      </c>
      <c r="H635" s="221" t="s">
        <v>1370</v>
      </c>
    </row>
    <row customHeight="true" ht="16.071428571428573" r="636">
      <c r="A636" s="220">
        <v>600</v>
      </c>
      <c r="B636" s="221" t="s">
        <v>1351</v>
      </c>
      <c r="C636" s="221" t="s">
        <v>1384</v>
      </c>
      <c r="D636" s="221" t="s">
        <v>1378</v>
      </c>
      <c r="E636" s="222">
        <v>48.2</v>
      </c>
      <c r="F636" s="223">
        <v>3.42</v>
      </c>
      <c r="G636" s="220" t="s">
        <v>1381</v>
      </c>
      <c r="H636" s="221" t="s">
        <v>1390</v>
      </c>
    </row>
    <row customHeight="true" ht="16.071428571428573" r="637">
      <c r="A637" s="220">
        <v>601</v>
      </c>
      <c r="B637" s="221" t="s">
        <v>1353</v>
      </c>
      <c r="C637" s="221" t="s">
        <v>1384</v>
      </c>
      <c r="D637" s="221" t="s">
        <v>1368</v>
      </c>
      <c r="E637" s="222">
        <v>45.7</v>
      </c>
      <c r="F637" s="223">
        <v>0.51</v>
      </c>
      <c r="G637" s="220" t="s">
        <v>1369</v>
      </c>
      <c r="H637" s="221" t="s">
        <v>1370</v>
      </c>
    </row>
    <row customHeight="true" ht="16.071428571428573" r="638">
      <c r="A638" s="220">
        <v>602</v>
      </c>
      <c r="B638" s="221" t="s">
        <v>1374</v>
      </c>
      <c r="C638" s="221" t="s">
        <v>1385</v>
      </c>
      <c r="D638" s="221" t="s">
        <v>1376</v>
      </c>
      <c r="E638" s="222">
        <v>36.6</v>
      </c>
      <c r="F638" s="223">
        <v>1.64</v>
      </c>
      <c r="G638" s="220" t="s">
        <v>1369</v>
      </c>
      <c r="H638" s="221" t="s">
        <v>1370</v>
      </c>
    </row>
    <row customHeight="true" ht="16.071428571428573" r="639">
      <c r="A639" s="220">
        <v>603</v>
      </c>
      <c r="B639" s="221" t="s">
        <v>1374</v>
      </c>
      <c r="C639" s="221" t="s">
        <v>1367</v>
      </c>
      <c r="D639" s="221" t="s">
        <v>1376</v>
      </c>
      <c r="E639" s="222">
        <v>44.3</v>
      </c>
      <c r="F639" s="223">
        <v>2.03</v>
      </c>
      <c r="G639" s="220" t="s">
        <v>1369</v>
      </c>
      <c r="H639" s="221" t="s">
        <v>1370</v>
      </c>
    </row>
    <row customHeight="true" ht="16.071428571428573" r="640">
      <c r="A640" s="220">
        <v>604</v>
      </c>
      <c r="B640" s="221" t="s">
        <v>1374</v>
      </c>
      <c r="C640" s="221" t="s">
        <v>1384</v>
      </c>
      <c r="D640" s="221" t="s">
        <v>1376</v>
      </c>
      <c r="E640" s="222">
        <v>39.7</v>
      </c>
      <c r="F640" s="223">
        <v>2.08</v>
      </c>
      <c r="G640" s="220" t="s">
        <v>1369</v>
      </c>
      <c r="H640" s="221" t="s">
        <v>1370</v>
      </c>
    </row>
    <row customHeight="true" ht="16.071428571428573" r="641">
      <c r="A641" s="220">
        <v>605</v>
      </c>
      <c r="B641" s="221" t="s">
        <v>1353</v>
      </c>
      <c r="C641" s="221" t="s">
        <v>1367</v>
      </c>
      <c r="D641" s="221" t="s">
        <v>1368</v>
      </c>
      <c r="E641" s="222">
        <v>38.8</v>
      </c>
      <c r="F641" s="223">
        <v>1.49</v>
      </c>
      <c r="G641" s="220" t="s">
        <v>1369</v>
      </c>
      <c r="H641" s="221" t="s">
        <v>1370</v>
      </c>
    </row>
    <row customHeight="true" ht="16.071428571428573" r="642">
      <c r="A642" s="220">
        <v>606</v>
      </c>
      <c r="B642" s="221" t="s">
        <v>1353</v>
      </c>
      <c r="C642" s="221" t="s">
        <v>1379</v>
      </c>
      <c r="D642" s="221" t="s">
        <v>1368</v>
      </c>
      <c r="E642" s="222">
        <v>41</v>
      </c>
      <c r="F642" s="223">
        <v>2.07</v>
      </c>
      <c r="G642" s="220" t="s">
        <v>1369</v>
      </c>
      <c r="H642" s="221" t="s">
        <v>1370</v>
      </c>
    </row>
    <row customHeight="true" ht="16.071428571428573" r="643">
      <c r="A643" s="220">
        <v>607</v>
      </c>
      <c r="B643" s="221" t="s">
        <v>1351</v>
      </c>
      <c r="C643" s="221" t="s">
        <v>1385</v>
      </c>
      <c r="D643" s="221" t="s">
        <v>1378</v>
      </c>
      <c r="E643" s="222">
        <v>40.3</v>
      </c>
      <c r="F643" s="223">
        <v>1.69</v>
      </c>
      <c r="G643" s="220" t="s">
        <v>1369</v>
      </c>
      <c r="H643" s="221" t="s">
        <v>1370</v>
      </c>
    </row>
    <row customHeight="true" ht="16.071428571428573" r="644">
      <c r="A644" s="220">
        <v>608</v>
      </c>
      <c r="B644" s="221" t="s">
        <v>1351</v>
      </c>
      <c r="C644" s="221" t="s">
        <v>1386</v>
      </c>
      <c r="D644" s="221" t="s">
        <v>1378</v>
      </c>
      <c r="E644" s="222">
        <v>40.7</v>
      </c>
      <c r="F644" s="223">
        <v>1.53</v>
      </c>
      <c r="G644" s="220" t="s">
        <v>1369</v>
      </c>
      <c r="H644" s="221" t="s">
        <v>1370</v>
      </c>
    </row>
    <row customHeight="true" ht="16.071428571428573" r="645">
      <c r="A645" s="220">
        <v>609</v>
      </c>
      <c r="B645" s="221" t="s">
        <v>1351</v>
      </c>
      <c r="C645" s="221" t="s">
        <v>1379</v>
      </c>
      <c r="D645" s="221" t="s">
        <v>1378</v>
      </c>
      <c r="E645" s="222">
        <v>42.7</v>
      </c>
      <c r="F645" s="223">
        <v>1.65</v>
      </c>
      <c r="G645" s="220" t="s">
        <v>1369</v>
      </c>
      <c r="H645" s="221" t="s">
        <v>1370</v>
      </c>
    </row>
    <row customHeight="true" ht="16.071428571428573" r="646">
      <c r="A646" s="220">
        <v>610</v>
      </c>
      <c r="B646" s="221" t="s">
        <v>1351</v>
      </c>
      <c r="C646" s="221" t="s">
        <v>1380</v>
      </c>
      <c r="D646" s="221" t="s">
        <v>1378</v>
      </c>
      <c r="E646" s="222">
        <v>45</v>
      </c>
      <c r="F646" s="223">
        <v>0.84</v>
      </c>
      <c r="G646" s="220" t="s">
        <v>1369</v>
      </c>
      <c r="H646" s="221" t="s">
        <v>1370</v>
      </c>
    </row>
    <row customHeight="true" ht="16.071428571428573" r="647">
      <c r="A647" s="220">
        <v>611</v>
      </c>
      <c r="B647" s="221" t="s">
        <v>1371</v>
      </c>
      <c r="C647" s="221" t="s">
        <v>1385</v>
      </c>
      <c r="D647" s="221" t="s">
        <v>1373</v>
      </c>
      <c r="E647" s="222">
        <v>38.6</v>
      </c>
      <c r="F647" s="223">
        <v>1.4</v>
      </c>
      <c r="G647" s="220" t="s">
        <v>1369</v>
      </c>
      <c r="H647" s="221" t="s">
        <v>1370</v>
      </c>
    </row>
    <row customHeight="true" ht="16.071428571428573" r="648">
      <c r="A648" s="220">
        <v>612</v>
      </c>
      <c r="B648" s="221" t="s">
        <v>1351</v>
      </c>
      <c r="C648" s="221" t="s">
        <v>1384</v>
      </c>
      <c r="D648" s="221" t="s">
        <v>1378</v>
      </c>
      <c r="E648" s="222">
        <v>40.6</v>
      </c>
      <c r="F648" s="223">
        <v>1.74</v>
      </c>
      <c r="G648" s="220" t="s">
        <v>1369</v>
      </c>
      <c r="H648" s="221" t="s">
        <v>1370</v>
      </c>
    </row>
    <row customHeight="true" ht="16.071428571428573" r="649">
      <c r="A649" s="220">
        <v>613</v>
      </c>
      <c r="B649" s="221" t="s">
        <v>1374</v>
      </c>
      <c r="C649" s="221" t="s">
        <v>1386</v>
      </c>
      <c r="D649" s="221" t="s">
        <v>1376</v>
      </c>
      <c r="E649" s="222">
        <v>42.4</v>
      </c>
      <c r="F649" s="223">
        <v>1.26</v>
      </c>
      <c r="G649" s="220" t="s">
        <v>1369</v>
      </c>
      <c r="H649" s="221" t="s">
        <v>1370</v>
      </c>
    </row>
    <row customHeight="true" ht="16.071428571428573" r="650">
      <c r="A650" s="220">
        <v>614</v>
      </c>
      <c r="B650" s="221" t="s">
        <v>1351</v>
      </c>
      <c r="C650" s="221" t="s">
        <v>1385</v>
      </c>
      <c r="D650" s="221" t="s">
        <v>1378</v>
      </c>
      <c r="E650" s="222">
        <v>39.7</v>
      </c>
      <c r="F650" s="223">
        <v>1.54</v>
      </c>
      <c r="G650" s="220" t="s">
        <v>1369</v>
      </c>
      <c r="H650" s="221" t="s">
        <v>1370</v>
      </c>
    </row>
    <row customHeight="true" ht="16.071428571428573" r="651">
      <c r="A651" s="220">
        <v>615</v>
      </c>
      <c r="B651" s="221" t="s">
        <v>1374</v>
      </c>
      <c r="C651" s="221" t="s">
        <v>1375</v>
      </c>
      <c r="D651" s="221" t="s">
        <v>1376</v>
      </c>
      <c r="E651" s="222">
        <v>40.9</v>
      </c>
      <c r="F651" s="223">
        <v>1.22</v>
      </c>
      <c r="G651" s="220" t="s">
        <v>1369</v>
      </c>
      <c r="H651" s="221" t="s">
        <v>1370</v>
      </c>
    </row>
    <row customHeight="true" ht="16.071428571428573" r="652">
      <c r="A652" s="220">
        <v>616</v>
      </c>
      <c r="B652" s="221" t="s">
        <v>1351</v>
      </c>
      <c r="C652" s="221" t="s">
        <v>1372</v>
      </c>
      <c r="D652" s="221" t="s">
        <v>1378</v>
      </c>
      <c r="E652" s="222">
        <v>43.4</v>
      </c>
      <c r="F652" s="223">
        <v>2.09</v>
      </c>
      <c r="G652" s="220" t="s">
        <v>1369</v>
      </c>
      <c r="H652" s="221" t="s">
        <v>1370</v>
      </c>
    </row>
    <row customHeight="true" ht="16.071428571428573" r="653">
      <c r="A653" s="220">
        <v>617</v>
      </c>
      <c r="B653" s="221" t="s">
        <v>1353</v>
      </c>
      <c r="C653" s="221" t="s">
        <v>1379</v>
      </c>
      <c r="D653" s="221" t="s">
        <v>1368</v>
      </c>
      <c r="E653" s="222">
        <v>41.4</v>
      </c>
      <c r="F653" s="223">
        <v>2.06</v>
      </c>
      <c r="G653" s="220" t="s">
        <v>1369</v>
      </c>
      <c r="H653" s="221" t="s">
        <v>1370</v>
      </c>
    </row>
    <row customHeight="true" ht="16.071428571428573" r="654">
      <c r="A654" s="220">
        <v>618</v>
      </c>
      <c r="B654" s="221" t="s">
        <v>1351</v>
      </c>
      <c r="C654" s="221" t="s">
        <v>1389</v>
      </c>
      <c r="D654" s="221" t="s">
        <v>1378</v>
      </c>
      <c r="E654" s="222">
        <v>36.7</v>
      </c>
      <c r="F654" s="223">
        <v>1.36</v>
      </c>
      <c r="G654" s="220" t="s">
        <v>1369</v>
      </c>
      <c r="H654" s="221" t="s">
        <v>1370</v>
      </c>
    </row>
    <row customHeight="true" ht="16.071428571428573" r="655">
      <c r="A655" s="220">
        <v>619</v>
      </c>
      <c r="B655" s="221" t="s">
        <v>1353</v>
      </c>
      <c r="C655" s="221" t="s">
        <v>1380</v>
      </c>
      <c r="D655" s="221" t="s">
        <v>1368</v>
      </c>
      <c r="E655" s="222">
        <v>44.4</v>
      </c>
      <c r="F655" s="223">
        <v>1.46</v>
      </c>
      <c r="G655" s="220" t="s">
        <v>1369</v>
      </c>
      <c r="H655" s="221" t="s">
        <v>1370</v>
      </c>
    </row>
    <row customHeight="true" ht="16.071428571428573" r="656">
      <c r="A656" s="220">
        <v>620</v>
      </c>
      <c r="B656" s="221" t="s">
        <v>1351</v>
      </c>
      <c r="C656" s="221" t="s">
        <v>1388</v>
      </c>
      <c r="D656" s="221" t="s">
        <v>1378</v>
      </c>
      <c r="E656" s="222">
        <v>43.2</v>
      </c>
      <c r="F656" s="223">
        <v>1.57</v>
      </c>
      <c r="G656" s="220" t="s">
        <v>1369</v>
      </c>
      <c r="H656" s="221" t="s">
        <v>1370</v>
      </c>
    </row>
    <row customHeight="true" ht="16.071428571428573" r="657">
      <c r="A657" s="220">
        <v>621</v>
      </c>
      <c r="B657" s="221" t="s">
        <v>1353</v>
      </c>
      <c r="C657" s="221" t="s">
        <v>1367</v>
      </c>
      <c r="D657" s="221" t="s">
        <v>1368</v>
      </c>
      <c r="E657" s="222">
        <v>44.4</v>
      </c>
      <c r="F657" s="223">
        <v>1.15</v>
      </c>
      <c r="G657" s="220" t="s">
        <v>1369</v>
      </c>
      <c r="H657" s="221" t="s">
        <v>1370</v>
      </c>
    </row>
    <row customHeight="true" ht="16.071428571428573" r="658">
      <c r="A658" s="220">
        <v>622</v>
      </c>
      <c r="B658" s="221" t="s">
        <v>1374</v>
      </c>
      <c r="C658" s="221" t="s">
        <v>1386</v>
      </c>
      <c r="D658" s="221" t="s">
        <v>1376</v>
      </c>
      <c r="E658" s="222">
        <v>36.5</v>
      </c>
      <c r="F658" s="223">
        <v>0.86</v>
      </c>
      <c r="G658" s="220" t="s">
        <v>1369</v>
      </c>
      <c r="H658" s="221" t="s">
        <v>1370</v>
      </c>
    </row>
    <row customHeight="true" ht="16.071428571428573" r="659">
      <c r="A659" s="220">
        <v>623</v>
      </c>
      <c r="B659" s="221" t="s">
        <v>1371</v>
      </c>
      <c r="C659" s="221" t="s">
        <v>1383</v>
      </c>
      <c r="D659" s="221" t="s">
        <v>1373</v>
      </c>
      <c r="E659" s="222">
        <v>40.2</v>
      </c>
      <c r="F659" s="223">
        <v>2</v>
      </c>
      <c r="G659" s="220" t="s">
        <v>1369</v>
      </c>
      <c r="H659" s="221" t="s">
        <v>1370</v>
      </c>
    </row>
    <row customHeight="true" ht="16.071428571428573" r="660">
      <c r="A660" s="220">
        <v>624</v>
      </c>
      <c r="B660" s="221" t="s">
        <v>1351</v>
      </c>
      <c r="C660" s="221" t="s">
        <v>1367</v>
      </c>
      <c r="D660" s="221" t="s">
        <v>1378</v>
      </c>
      <c r="E660" s="222">
        <v>42</v>
      </c>
      <c r="F660" s="223">
        <v>0.85</v>
      </c>
      <c r="G660" s="220" t="s">
        <v>1369</v>
      </c>
      <c r="H660" s="221" t="s">
        <v>1370</v>
      </c>
    </row>
    <row customHeight="true" ht="16.071428571428573" r="661">
      <c r="A661" s="220">
        <v>625</v>
      </c>
      <c r="B661" s="221" t="s">
        <v>1374</v>
      </c>
      <c r="C661" s="221" t="s">
        <v>1380</v>
      </c>
      <c r="D661" s="221" t="s">
        <v>1376</v>
      </c>
      <c r="E661" s="222">
        <v>40.8</v>
      </c>
      <c r="F661" s="223">
        <v>1.11</v>
      </c>
      <c r="G661" s="220" t="s">
        <v>1369</v>
      </c>
      <c r="H661" s="221" t="s">
        <v>1370</v>
      </c>
    </row>
    <row customHeight="true" ht="16.071428571428573" r="662">
      <c r="A662" s="220">
        <v>626</v>
      </c>
      <c r="B662" s="221" t="s">
        <v>1374</v>
      </c>
      <c r="C662" s="221" t="s">
        <v>1384</v>
      </c>
      <c r="D662" s="221" t="s">
        <v>1376</v>
      </c>
      <c r="E662" s="222">
        <v>50.6</v>
      </c>
      <c r="F662" s="223">
        <v>3.47</v>
      </c>
      <c r="G662" s="220" t="s">
        <v>1381</v>
      </c>
      <c r="H662" s="221" t="s">
        <v>1387</v>
      </c>
    </row>
    <row customHeight="true" ht="16.071428571428573" r="663">
      <c r="A663" s="220">
        <v>627</v>
      </c>
      <c r="B663" s="221" t="s">
        <v>1353</v>
      </c>
      <c r="C663" s="221" t="s">
        <v>1385</v>
      </c>
      <c r="D663" s="221" t="s">
        <v>1368</v>
      </c>
      <c r="E663" s="222">
        <v>36.6</v>
      </c>
      <c r="F663" s="223">
        <v>1.19</v>
      </c>
      <c r="G663" s="220" t="s">
        <v>1369</v>
      </c>
      <c r="H663" s="221" t="s">
        <v>1370</v>
      </c>
    </row>
    <row customHeight="true" ht="16.071428571428573" r="664">
      <c r="A664" s="220">
        <v>628</v>
      </c>
      <c r="B664" s="221" t="s">
        <v>1351</v>
      </c>
      <c r="C664" s="221" t="s">
        <v>1384</v>
      </c>
      <c r="D664" s="221" t="s">
        <v>1378</v>
      </c>
      <c r="E664" s="222">
        <v>39.1</v>
      </c>
      <c r="F664" s="223">
        <v>0.9</v>
      </c>
      <c r="G664" s="220" t="s">
        <v>1369</v>
      </c>
      <c r="H664" s="221" t="s">
        <v>1370</v>
      </c>
    </row>
    <row customHeight="true" ht="16.071428571428573" r="665">
      <c r="A665" s="220">
        <v>629</v>
      </c>
      <c r="B665" s="221" t="s">
        <v>1353</v>
      </c>
      <c r="C665" s="221" t="s">
        <v>1367</v>
      </c>
      <c r="D665" s="221" t="s">
        <v>1368</v>
      </c>
      <c r="E665" s="222">
        <v>44.8</v>
      </c>
      <c r="F665" s="223">
        <v>1.78</v>
      </c>
      <c r="G665" s="220" t="s">
        <v>1369</v>
      </c>
      <c r="H665" s="221" t="s">
        <v>1370</v>
      </c>
    </row>
    <row customHeight="true" ht="16.071428571428573" r="666">
      <c r="A666" s="220">
        <v>630</v>
      </c>
      <c r="B666" s="221" t="s">
        <v>1374</v>
      </c>
      <c r="C666" s="221" t="s">
        <v>1384</v>
      </c>
      <c r="D666" s="221" t="s">
        <v>1376</v>
      </c>
      <c r="E666" s="222">
        <v>38.7</v>
      </c>
      <c r="F666" s="223">
        <v>1.04</v>
      </c>
      <c r="G666" s="220" t="s">
        <v>1369</v>
      </c>
      <c r="H666" s="221" t="s">
        <v>1370</v>
      </c>
    </row>
    <row customHeight="true" ht="16.071428571428573" r="667">
      <c r="A667" s="220">
        <v>631</v>
      </c>
      <c r="B667" s="221" t="s">
        <v>1374</v>
      </c>
      <c r="C667" s="221" t="s">
        <v>1386</v>
      </c>
      <c r="D667" s="221" t="s">
        <v>1376</v>
      </c>
      <c r="E667" s="222">
        <v>37.8</v>
      </c>
      <c r="F667" s="223">
        <v>1.27</v>
      </c>
      <c r="G667" s="220" t="s">
        <v>1369</v>
      </c>
      <c r="H667" s="221" t="s">
        <v>1370</v>
      </c>
    </row>
    <row customHeight="true" ht="16.071428571428573" r="668">
      <c r="A668" s="220">
        <v>632</v>
      </c>
      <c r="B668" s="221" t="s">
        <v>1374</v>
      </c>
      <c r="C668" s="221" t="s">
        <v>1386</v>
      </c>
      <c r="D668" s="221" t="s">
        <v>1376</v>
      </c>
      <c r="E668" s="222">
        <v>40.1</v>
      </c>
      <c r="F668" s="223">
        <v>1.63</v>
      </c>
      <c r="G668" s="220" t="s">
        <v>1369</v>
      </c>
      <c r="H668" s="221" t="s">
        <v>1370</v>
      </c>
    </row>
    <row customHeight="true" ht="16.071428571428573" r="669">
      <c r="A669" s="220">
        <v>633</v>
      </c>
      <c r="B669" s="221" t="s">
        <v>1374</v>
      </c>
      <c r="C669" s="221" t="s">
        <v>1385</v>
      </c>
      <c r="D669" s="221" t="s">
        <v>1376</v>
      </c>
      <c r="E669" s="222">
        <v>43.1</v>
      </c>
      <c r="F669" s="223">
        <v>0.69</v>
      </c>
      <c r="G669" s="220" t="s">
        <v>1369</v>
      </c>
      <c r="H669" s="221" t="s">
        <v>1370</v>
      </c>
    </row>
    <row customHeight="true" ht="16.071428571428573" r="670">
      <c r="A670" s="220">
        <v>634</v>
      </c>
      <c r="B670" s="221" t="s">
        <v>1371</v>
      </c>
      <c r="C670" s="221" t="s">
        <v>1380</v>
      </c>
      <c r="D670" s="221" t="s">
        <v>1373</v>
      </c>
      <c r="E670" s="222">
        <v>37.8</v>
      </c>
      <c r="F670" s="223">
        <v>1.55</v>
      </c>
      <c r="G670" s="220" t="s">
        <v>1369</v>
      </c>
      <c r="H670" s="221" t="s">
        <v>1370</v>
      </c>
    </row>
    <row customHeight="true" ht="16.071428571428573" r="671">
      <c r="A671" s="220">
        <v>635</v>
      </c>
      <c r="B671" s="221" t="s">
        <v>1353</v>
      </c>
      <c r="C671" s="221" t="s">
        <v>1377</v>
      </c>
      <c r="D671" s="221" t="s">
        <v>1368</v>
      </c>
      <c r="E671" s="222">
        <v>38</v>
      </c>
      <c r="F671" s="223">
        <v>1.91</v>
      </c>
      <c r="G671" s="220" t="s">
        <v>1369</v>
      </c>
      <c r="H671" s="221" t="s">
        <v>1370</v>
      </c>
    </row>
    <row customHeight="true" ht="16.071428571428573" r="672">
      <c r="A672" s="220">
        <v>636</v>
      </c>
      <c r="B672" s="221" t="s">
        <v>1374</v>
      </c>
      <c r="C672" s="221" t="s">
        <v>1367</v>
      </c>
      <c r="D672" s="221" t="s">
        <v>1376</v>
      </c>
      <c r="E672" s="222">
        <v>43.2</v>
      </c>
      <c r="F672" s="223">
        <v>0.78</v>
      </c>
      <c r="G672" s="220" t="s">
        <v>1369</v>
      </c>
      <c r="H672" s="221" t="s">
        <v>1370</v>
      </c>
    </row>
    <row customHeight="true" ht="16.071428571428573" r="673">
      <c r="A673" s="220">
        <v>637</v>
      </c>
      <c r="B673" s="221" t="s">
        <v>1353</v>
      </c>
      <c r="C673" s="221" t="s">
        <v>1384</v>
      </c>
      <c r="D673" s="221" t="s">
        <v>1368</v>
      </c>
      <c r="E673" s="222">
        <v>37.4</v>
      </c>
      <c r="F673" s="223">
        <v>1.74</v>
      </c>
      <c r="G673" s="220" t="s">
        <v>1369</v>
      </c>
      <c r="H673" s="221" t="s">
        <v>1370</v>
      </c>
    </row>
    <row customHeight="true" ht="16.071428571428573" r="674">
      <c r="A674" s="220">
        <v>638</v>
      </c>
      <c r="B674" s="221" t="s">
        <v>1374</v>
      </c>
      <c r="C674" s="221" t="s">
        <v>1380</v>
      </c>
      <c r="D674" s="221" t="s">
        <v>1376</v>
      </c>
      <c r="E674" s="222">
        <v>37.3</v>
      </c>
      <c r="F674" s="223">
        <v>0.8</v>
      </c>
      <c r="G674" s="220" t="s">
        <v>1369</v>
      </c>
      <c r="H674" s="221" t="s">
        <v>1370</v>
      </c>
    </row>
    <row customHeight="true" ht="16.071428571428573" r="675">
      <c r="A675" s="220">
        <v>639</v>
      </c>
      <c r="B675" s="221" t="s">
        <v>1374</v>
      </c>
      <c r="C675" s="221" t="s">
        <v>1386</v>
      </c>
      <c r="D675" s="221" t="s">
        <v>1376</v>
      </c>
      <c r="E675" s="222">
        <v>43.2</v>
      </c>
      <c r="F675" s="223">
        <v>1.64</v>
      </c>
      <c r="G675" s="220" t="s">
        <v>1369</v>
      </c>
      <c r="H675" s="221" t="s">
        <v>1370</v>
      </c>
    </row>
    <row customHeight="true" ht="16.071428571428573" r="676">
      <c r="A676" s="220">
        <v>640</v>
      </c>
      <c r="B676" s="221" t="s">
        <v>1351</v>
      </c>
      <c r="C676" s="221" t="s">
        <v>1372</v>
      </c>
      <c r="D676" s="221" t="s">
        <v>1378</v>
      </c>
      <c r="E676" s="222">
        <v>41.4</v>
      </c>
      <c r="F676" s="223">
        <v>1.91</v>
      </c>
      <c r="G676" s="220" t="s">
        <v>1369</v>
      </c>
      <c r="H676" s="221" t="s">
        <v>1370</v>
      </c>
    </row>
    <row customHeight="true" ht="16.071428571428573" r="677">
      <c r="A677" s="220">
        <v>641</v>
      </c>
      <c r="B677" s="221" t="s">
        <v>1374</v>
      </c>
      <c r="C677" s="221" t="s">
        <v>1372</v>
      </c>
      <c r="D677" s="221" t="s">
        <v>1376</v>
      </c>
      <c r="E677" s="222">
        <v>37.3</v>
      </c>
      <c r="F677" s="223">
        <v>0.72</v>
      </c>
      <c r="G677" s="220" t="s">
        <v>1369</v>
      </c>
      <c r="H677" s="221" t="s">
        <v>1370</v>
      </c>
    </row>
    <row customHeight="true" ht="16.071428571428573" r="678">
      <c r="A678" s="220">
        <v>642</v>
      </c>
      <c r="B678" s="221" t="s">
        <v>1371</v>
      </c>
      <c r="C678" s="221" t="s">
        <v>1372</v>
      </c>
      <c r="D678" s="221" t="s">
        <v>1373</v>
      </c>
      <c r="E678" s="222">
        <v>38.4</v>
      </c>
      <c r="F678" s="223">
        <v>0.71</v>
      </c>
      <c r="G678" s="220" t="s">
        <v>1369</v>
      </c>
      <c r="H678" s="221" t="s">
        <v>1370</v>
      </c>
    </row>
    <row customHeight="true" ht="16.071428571428573" r="679">
      <c r="A679" s="220">
        <v>643</v>
      </c>
      <c r="B679" s="221" t="s">
        <v>1374</v>
      </c>
      <c r="C679" s="221" t="s">
        <v>1367</v>
      </c>
      <c r="D679" s="221" t="s">
        <v>1376</v>
      </c>
      <c r="E679" s="222">
        <v>42.4</v>
      </c>
      <c r="F679" s="223">
        <v>1.16</v>
      </c>
      <c r="G679" s="220" t="s">
        <v>1369</v>
      </c>
      <c r="H679" s="221" t="s">
        <v>1370</v>
      </c>
    </row>
    <row customHeight="true" ht="16.071428571428573" r="680">
      <c r="A680" s="220">
        <v>644</v>
      </c>
      <c r="B680" s="221" t="s">
        <v>1374</v>
      </c>
      <c r="C680" s="221" t="s">
        <v>1372</v>
      </c>
      <c r="D680" s="221" t="s">
        <v>1376</v>
      </c>
      <c r="E680" s="222">
        <v>40.7</v>
      </c>
      <c r="F680" s="223">
        <v>0.7</v>
      </c>
      <c r="G680" s="220" t="s">
        <v>1369</v>
      </c>
      <c r="H680" s="221" t="s">
        <v>1370</v>
      </c>
    </row>
    <row customHeight="true" ht="16.071428571428573" r="681">
      <c r="A681" s="220">
        <v>645</v>
      </c>
      <c r="B681" s="221" t="s">
        <v>1353</v>
      </c>
      <c r="C681" s="221" t="s">
        <v>1383</v>
      </c>
      <c r="D681" s="221" t="s">
        <v>1368</v>
      </c>
      <c r="E681" s="222">
        <v>37.9</v>
      </c>
      <c r="F681" s="223">
        <v>1.02</v>
      </c>
      <c r="G681" s="220" t="s">
        <v>1369</v>
      </c>
      <c r="H681" s="221" t="s">
        <v>1370</v>
      </c>
    </row>
    <row customHeight="true" ht="16.071428571428573" r="682">
      <c r="A682" s="220">
        <v>646</v>
      </c>
      <c r="B682" s="221" t="s">
        <v>1351</v>
      </c>
      <c r="C682" s="221" t="s">
        <v>1385</v>
      </c>
      <c r="D682" s="221" t="s">
        <v>1378</v>
      </c>
      <c r="E682" s="222">
        <v>38.1</v>
      </c>
      <c r="F682" s="223">
        <v>1.01</v>
      </c>
      <c r="G682" s="220" t="s">
        <v>1369</v>
      </c>
      <c r="H682" s="221" t="s">
        <v>1370</v>
      </c>
    </row>
    <row customHeight="true" ht="16.071428571428573" r="683">
      <c r="A683" s="220">
        <v>647</v>
      </c>
      <c r="B683" s="221" t="s">
        <v>1351</v>
      </c>
      <c r="C683" s="221" t="s">
        <v>1388</v>
      </c>
      <c r="D683" s="221" t="s">
        <v>1378</v>
      </c>
      <c r="E683" s="222">
        <v>42.9</v>
      </c>
      <c r="F683" s="223">
        <v>0.66</v>
      </c>
      <c r="G683" s="220" t="s">
        <v>1369</v>
      </c>
      <c r="H683" s="221" t="s">
        <v>1370</v>
      </c>
    </row>
    <row customHeight="true" ht="16.071428571428573" r="684">
      <c r="A684" s="220">
        <v>648</v>
      </c>
      <c r="B684" s="221" t="s">
        <v>1353</v>
      </c>
      <c r="C684" s="221" t="s">
        <v>1380</v>
      </c>
      <c r="D684" s="221" t="s">
        <v>1368</v>
      </c>
      <c r="E684" s="222">
        <v>38.2</v>
      </c>
      <c r="F684" s="223">
        <v>1.62</v>
      </c>
      <c r="G684" s="220" t="s">
        <v>1369</v>
      </c>
      <c r="H684" s="221" t="s">
        <v>1370</v>
      </c>
    </row>
    <row customHeight="true" ht="16.071428571428573" r="685">
      <c r="A685" s="220">
        <v>649</v>
      </c>
      <c r="B685" s="221" t="s">
        <v>1371</v>
      </c>
      <c r="C685" s="221" t="s">
        <v>1367</v>
      </c>
      <c r="D685" s="221" t="s">
        <v>1373</v>
      </c>
      <c r="E685" s="222">
        <v>38.3</v>
      </c>
      <c r="F685" s="223">
        <v>1.14</v>
      </c>
      <c r="G685" s="220" t="s">
        <v>1369</v>
      </c>
      <c r="H685" s="221" t="s">
        <v>1370</v>
      </c>
    </row>
    <row customHeight="true" ht="16.071428571428573" r="686">
      <c r="A686" s="220">
        <v>650</v>
      </c>
      <c r="B686" s="221" t="s">
        <v>1374</v>
      </c>
      <c r="C686" s="221" t="s">
        <v>1379</v>
      </c>
      <c r="D686" s="221" t="s">
        <v>1376</v>
      </c>
      <c r="E686" s="222">
        <v>37.9</v>
      </c>
      <c r="F686" s="223">
        <v>2.09</v>
      </c>
      <c r="G686" s="220" t="s">
        <v>1369</v>
      </c>
      <c r="H686" s="221" t="s">
        <v>1370</v>
      </c>
    </row>
    <row customHeight="true" ht="16.071428571428573" r="687">
      <c r="A687" s="220">
        <v>651</v>
      </c>
      <c r="B687" s="221" t="s">
        <v>1374</v>
      </c>
      <c r="C687" s="221" t="s">
        <v>1380</v>
      </c>
      <c r="D687" s="221" t="s">
        <v>1376</v>
      </c>
      <c r="E687" s="222">
        <v>45.4</v>
      </c>
      <c r="F687" s="223">
        <v>1.98</v>
      </c>
      <c r="G687" s="220" t="s">
        <v>1369</v>
      </c>
      <c r="H687" s="221" t="s">
        <v>1370</v>
      </c>
    </row>
    <row customHeight="true" ht="16.071428571428573" r="688">
      <c r="A688" s="220">
        <v>652</v>
      </c>
      <c r="B688" s="221" t="s">
        <v>1374</v>
      </c>
      <c r="C688" s="221" t="s">
        <v>1372</v>
      </c>
      <c r="D688" s="221" t="s">
        <v>1376</v>
      </c>
      <c r="E688" s="222">
        <v>42.9</v>
      </c>
      <c r="F688" s="223">
        <v>1.43</v>
      </c>
      <c r="G688" s="220" t="s">
        <v>1369</v>
      </c>
      <c r="H688" s="221" t="s">
        <v>1370</v>
      </c>
    </row>
    <row customHeight="true" ht="16.071428571428573" r="689">
      <c r="A689" s="220">
        <v>653</v>
      </c>
      <c r="B689" s="221" t="s">
        <v>1374</v>
      </c>
      <c r="C689" s="221" t="s">
        <v>1385</v>
      </c>
      <c r="D689" s="221" t="s">
        <v>1376</v>
      </c>
      <c r="E689" s="222">
        <v>41.4</v>
      </c>
      <c r="F689" s="223">
        <v>1.84</v>
      </c>
      <c r="G689" s="220" t="s">
        <v>1369</v>
      </c>
      <c r="H689" s="221" t="s">
        <v>1370</v>
      </c>
    </row>
    <row customHeight="true" ht="16.071428571428573" r="690">
      <c r="A690" s="220">
        <v>654</v>
      </c>
      <c r="B690" s="221" t="s">
        <v>1351</v>
      </c>
      <c r="C690" s="221" t="s">
        <v>1383</v>
      </c>
      <c r="D690" s="221" t="s">
        <v>1378</v>
      </c>
      <c r="E690" s="222">
        <v>39</v>
      </c>
      <c r="F690" s="223">
        <v>0.82</v>
      </c>
      <c r="G690" s="220" t="s">
        <v>1369</v>
      </c>
      <c r="H690" s="221" t="s">
        <v>1370</v>
      </c>
    </row>
    <row customHeight="true" ht="16.071428571428573" r="691">
      <c r="A691" s="220">
        <v>655</v>
      </c>
      <c r="B691" s="221" t="s">
        <v>1353</v>
      </c>
      <c r="C691" s="221" t="s">
        <v>1386</v>
      </c>
      <c r="D691" s="221" t="s">
        <v>1368</v>
      </c>
      <c r="E691" s="222">
        <v>44.7</v>
      </c>
      <c r="F691" s="223">
        <v>0.71</v>
      </c>
      <c r="G691" s="220" t="s">
        <v>1369</v>
      </c>
      <c r="H691" s="221" t="s">
        <v>1370</v>
      </c>
    </row>
    <row customHeight="true" ht="16.071428571428573" r="692">
      <c r="A692" s="220">
        <v>656</v>
      </c>
      <c r="B692" s="221" t="s">
        <v>1351</v>
      </c>
      <c r="C692" s="221" t="s">
        <v>1379</v>
      </c>
      <c r="D692" s="221" t="s">
        <v>1378</v>
      </c>
      <c r="E692" s="222">
        <v>42.3</v>
      </c>
      <c r="F692" s="223">
        <v>1.87</v>
      </c>
      <c r="G692" s="220" t="s">
        <v>1369</v>
      </c>
      <c r="H692" s="221" t="s">
        <v>1370</v>
      </c>
    </row>
    <row customHeight="true" ht="16.071428571428573" r="693">
      <c r="A693" s="220">
        <v>657</v>
      </c>
      <c r="B693" s="221" t="s">
        <v>1351</v>
      </c>
      <c r="C693" s="221" t="s">
        <v>1372</v>
      </c>
      <c r="D693" s="221" t="s">
        <v>1378</v>
      </c>
      <c r="E693" s="222">
        <v>39.6</v>
      </c>
      <c r="F693" s="223">
        <v>0.85</v>
      </c>
      <c r="G693" s="220" t="s">
        <v>1369</v>
      </c>
      <c r="H693" s="221" t="s">
        <v>1370</v>
      </c>
    </row>
    <row customHeight="true" ht="16.071428571428573" r="694">
      <c r="A694" s="220">
        <v>658</v>
      </c>
      <c r="B694" s="221" t="s">
        <v>1371</v>
      </c>
      <c r="C694" s="221" t="s">
        <v>1385</v>
      </c>
      <c r="D694" s="221" t="s">
        <v>1373</v>
      </c>
      <c r="E694" s="222">
        <v>36.2</v>
      </c>
      <c r="F694" s="223">
        <v>1.65</v>
      </c>
      <c r="G694" s="220" t="s">
        <v>1369</v>
      </c>
      <c r="H694" s="221" t="s">
        <v>1370</v>
      </c>
    </row>
    <row customHeight="true" ht="16.071428571428573" r="695">
      <c r="A695" s="220">
        <v>659</v>
      </c>
      <c r="B695" s="221" t="s">
        <v>1351</v>
      </c>
      <c r="C695" s="221" t="s">
        <v>1375</v>
      </c>
      <c r="D695" s="221" t="s">
        <v>1378</v>
      </c>
      <c r="E695" s="222">
        <v>43.5</v>
      </c>
      <c r="F695" s="223">
        <v>1.08</v>
      </c>
      <c r="G695" s="220" t="s">
        <v>1369</v>
      </c>
      <c r="H695" s="221" t="s">
        <v>1370</v>
      </c>
    </row>
    <row customHeight="true" ht="16.071428571428573" r="696">
      <c r="A696" s="220">
        <v>660</v>
      </c>
      <c r="B696" s="221" t="s">
        <v>1374</v>
      </c>
      <c r="C696" s="221" t="s">
        <v>1372</v>
      </c>
      <c r="D696" s="221" t="s">
        <v>1376</v>
      </c>
      <c r="E696" s="222">
        <v>36.9</v>
      </c>
      <c r="F696" s="223">
        <v>1.34</v>
      </c>
      <c r="G696" s="220" t="s">
        <v>1369</v>
      </c>
      <c r="H696" s="221" t="s">
        <v>1370</v>
      </c>
    </row>
    <row customHeight="true" ht="16.071428571428573" r="697">
      <c r="A697" s="220">
        <v>661</v>
      </c>
      <c r="B697" s="221" t="s">
        <v>1374</v>
      </c>
      <c r="C697" s="221" t="s">
        <v>1388</v>
      </c>
      <c r="D697" s="221" t="s">
        <v>1376</v>
      </c>
      <c r="E697" s="222">
        <v>37.6</v>
      </c>
      <c r="F697" s="223">
        <v>2.09</v>
      </c>
      <c r="G697" s="220" t="s">
        <v>1369</v>
      </c>
      <c r="H697" s="221" t="s">
        <v>1370</v>
      </c>
    </row>
    <row customHeight="true" ht="16.071428571428573" r="698">
      <c r="A698" s="220">
        <v>662</v>
      </c>
      <c r="B698" s="221" t="s">
        <v>1374</v>
      </c>
      <c r="C698" s="221" t="s">
        <v>1372</v>
      </c>
      <c r="D698" s="221" t="s">
        <v>1376</v>
      </c>
      <c r="E698" s="222">
        <v>38.6</v>
      </c>
      <c r="F698" s="223">
        <v>0.97</v>
      </c>
      <c r="G698" s="220" t="s">
        <v>1369</v>
      </c>
      <c r="H698" s="221" t="s">
        <v>1370</v>
      </c>
    </row>
    <row customHeight="true" ht="16.071428571428573" r="699">
      <c r="A699" s="220">
        <v>663</v>
      </c>
      <c r="B699" s="221" t="s">
        <v>1374</v>
      </c>
      <c r="C699" s="221" t="s">
        <v>1372</v>
      </c>
      <c r="D699" s="221" t="s">
        <v>1376</v>
      </c>
      <c r="E699" s="222">
        <v>44.2</v>
      </c>
      <c r="F699" s="223">
        <v>0.79</v>
      </c>
      <c r="G699" s="220" t="s">
        <v>1369</v>
      </c>
      <c r="H699" s="221" t="s">
        <v>1370</v>
      </c>
    </row>
    <row customHeight="true" ht="16.071428571428573" r="700">
      <c r="A700" s="220">
        <v>664</v>
      </c>
      <c r="B700" s="221" t="s">
        <v>1374</v>
      </c>
      <c r="C700" s="221" t="s">
        <v>1383</v>
      </c>
      <c r="D700" s="221" t="s">
        <v>1376</v>
      </c>
      <c r="E700" s="222">
        <v>43</v>
      </c>
      <c r="F700" s="223">
        <v>1.81</v>
      </c>
      <c r="G700" s="220" t="s">
        <v>1369</v>
      </c>
      <c r="H700" s="221" t="s">
        <v>1370</v>
      </c>
    </row>
    <row customHeight="true" ht="16.071428571428573" r="701">
      <c r="A701" s="220">
        <v>665</v>
      </c>
      <c r="B701" s="221" t="s">
        <v>1351</v>
      </c>
      <c r="C701" s="221" t="s">
        <v>1389</v>
      </c>
      <c r="D701" s="221" t="s">
        <v>1378</v>
      </c>
      <c r="E701" s="222">
        <v>40.2</v>
      </c>
      <c r="F701" s="223">
        <v>1.89</v>
      </c>
      <c r="G701" s="220" t="s">
        <v>1369</v>
      </c>
      <c r="H701" s="221" t="s">
        <v>1370</v>
      </c>
    </row>
    <row customHeight="true" ht="16.071428571428573" r="702">
      <c r="A702" s="220">
        <v>666</v>
      </c>
      <c r="B702" s="221" t="s">
        <v>1371</v>
      </c>
      <c r="C702" s="221" t="s">
        <v>1380</v>
      </c>
      <c r="D702" s="221" t="s">
        <v>1373</v>
      </c>
      <c r="E702" s="222">
        <v>39.5</v>
      </c>
      <c r="F702" s="223">
        <v>0.69</v>
      </c>
      <c r="G702" s="220" t="s">
        <v>1369</v>
      </c>
      <c r="H702" s="221" t="s">
        <v>1370</v>
      </c>
    </row>
    <row customHeight="true" ht="16.071428571428573" r="703">
      <c r="A703" s="220">
        <v>667</v>
      </c>
      <c r="B703" s="221" t="s">
        <v>1374</v>
      </c>
      <c r="C703" s="221" t="s">
        <v>1380</v>
      </c>
      <c r="D703" s="221" t="s">
        <v>1376</v>
      </c>
      <c r="E703" s="222">
        <v>45.2</v>
      </c>
      <c r="F703" s="223">
        <v>1.51</v>
      </c>
      <c r="G703" s="220" t="s">
        <v>1369</v>
      </c>
      <c r="H703" s="221" t="s">
        <v>1370</v>
      </c>
    </row>
    <row customHeight="true" ht="16.071428571428573" r="704">
      <c r="A704" s="220">
        <v>668</v>
      </c>
      <c r="B704" s="221" t="s">
        <v>1351</v>
      </c>
      <c r="C704" s="221" t="s">
        <v>1385</v>
      </c>
      <c r="D704" s="221" t="s">
        <v>1378</v>
      </c>
      <c r="E704" s="222">
        <v>39.6</v>
      </c>
      <c r="F704" s="223">
        <v>1.85</v>
      </c>
      <c r="G704" s="220" t="s">
        <v>1369</v>
      </c>
      <c r="H704" s="221" t="s">
        <v>1370</v>
      </c>
    </row>
    <row customHeight="true" ht="16.071428571428573" r="705">
      <c r="A705" s="220">
        <v>669</v>
      </c>
      <c r="B705" s="221" t="s">
        <v>1374</v>
      </c>
      <c r="C705" s="221" t="s">
        <v>1375</v>
      </c>
      <c r="D705" s="221" t="s">
        <v>1376</v>
      </c>
      <c r="E705" s="222">
        <v>44.7</v>
      </c>
      <c r="F705" s="223">
        <v>0.89</v>
      </c>
      <c r="G705" s="220" t="s">
        <v>1369</v>
      </c>
      <c r="H705" s="221" t="s">
        <v>1370</v>
      </c>
    </row>
    <row customHeight="true" ht="16.071428571428573" r="706">
      <c r="A706" s="220">
        <v>670</v>
      </c>
      <c r="B706" s="221" t="s">
        <v>1374</v>
      </c>
      <c r="C706" s="221" t="s">
        <v>1388</v>
      </c>
      <c r="D706" s="221" t="s">
        <v>1376</v>
      </c>
      <c r="E706" s="222">
        <v>40.1</v>
      </c>
      <c r="F706" s="223">
        <v>1.53</v>
      </c>
      <c r="G706" s="220" t="s">
        <v>1369</v>
      </c>
      <c r="H706" s="221" t="s">
        <v>1370</v>
      </c>
    </row>
    <row customHeight="true" ht="16.071428571428573" r="707">
      <c r="A707" s="220">
        <v>671</v>
      </c>
      <c r="B707" s="221" t="s">
        <v>1374</v>
      </c>
      <c r="C707" s="221" t="s">
        <v>1383</v>
      </c>
      <c r="D707" s="221" t="s">
        <v>1376</v>
      </c>
      <c r="E707" s="222">
        <v>38.5</v>
      </c>
      <c r="F707" s="223">
        <v>1.77</v>
      </c>
      <c r="G707" s="220" t="s">
        <v>1369</v>
      </c>
      <c r="H707" s="221" t="s">
        <v>1370</v>
      </c>
    </row>
    <row customHeight="true" ht="16.071428571428573" r="708">
      <c r="A708" s="220">
        <v>672</v>
      </c>
      <c r="B708" s="221" t="s">
        <v>1353</v>
      </c>
      <c r="C708" s="221" t="s">
        <v>1367</v>
      </c>
      <c r="D708" s="221" t="s">
        <v>1368</v>
      </c>
      <c r="E708" s="222">
        <v>41</v>
      </c>
      <c r="F708" s="223">
        <v>1.7</v>
      </c>
      <c r="G708" s="220" t="s">
        <v>1369</v>
      </c>
      <c r="H708" s="221" t="s">
        <v>1370</v>
      </c>
    </row>
    <row customHeight="true" ht="16.071428571428573" r="709">
      <c r="A709" s="220">
        <v>673</v>
      </c>
      <c r="B709" s="221" t="s">
        <v>1351</v>
      </c>
      <c r="C709" s="221" t="s">
        <v>1383</v>
      </c>
      <c r="D709" s="221" t="s">
        <v>1378</v>
      </c>
      <c r="E709" s="222">
        <v>39.7</v>
      </c>
      <c r="F709" s="223">
        <v>1.44</v>
      </c>
      <c r="G709" s="220" t="s">
        <v>1369</v>
      </c>
      <c r="H709" s="221" t="s">
        <v>1370</v>
      </c>
    </row>
    <row customHeight="true" ht="16.071428571428573" r="710">
      <c r="A710" s="220">
        <v>674</v>
      </c>
      <c r="B710" s="221" t="s">
        <v>1374</v>
      </c>
      <c r="C710" s="221" t="s">
        <v>1367</v>
      </c>
      <c r="D710" s="221" t="s">
        <v>1376</v>
      </c>
      <c r="E710" s="222">
        <v>42.4</v>
      </c>
      <c r="F710" s="223">
        <v>1.77</v>
      </c>
      <c r="G710" s="220" t="s">
        <v>1369</v>
      </c>
      <c r="H710" s="221" t="s">
        <v>1370</v>
      </c>
    </row>
    <row customHeight="true" ht="16.071428571428573" r="711">
      <c r="A711" s="220">
        <v>675</v>
      </c>
      <c r="B711" s="221" t="s">
        <v>1351</v>
      </c>
      <c r="C711" s="221" t="s">
        <v>1388</v>
      </c>
      <c r="D711" s="221" t="s">
        <v>1378</v>
      </c>
      <c r="E711" s="222">
        <v>43.3</v>
      </c>
      <c r="F711" s="223">
        <v>1.34</v>
      </c>
      <c r="G711" s="220" t="s">
        <v>1369</v>
      </c>
      <c r="H711" s="221" t="s">
        <v>1370</v>
      </c>
    </row>
    <row customHeight="true" ht="16.071428571428573" r="712">
      <c r="A712" s="220">
        <v>676</v>
      </c>
      <c r="B712" s="221" t="s">
        <v>1374</v>
      </c>
      <c r="C712" s="221" t="s">
        <v>1367</v>
      </c>
      <c r="D712" s="221" t="s">
        <v>1376</v>
      </c>
      <c r="E712" s="222">
        <v>40.3</v>
      </c>
      <c r="F712" s="223">
        <v>0.99</v>
      </c>
      <c r="G712" s="220" t="s">
        <v>1369</v>
      </c>
      <c r="H712" s="221" t="s">
        <v>1370</v>
      </c>
    </row>
    <row customHeight="true" ht="16.071428571428573" r="713">
      <c r="A713" s="220">
        <v>677</v>
      </c>
      <c r="B713" s="221" t="s">
        <v>1374</v>
      </c>
      <c r="C713" s="221" t="s">
        <v>1384</v>
      </c>
      <c r="D713" s="221" t="s">
        <v>1376</v>
      </c>
      <c r="E713" s="222">
        <v>44.5</v>
      </c>
      <c r="F713" s="223">
        <v>0.84</v>
      </c>
      <c r="G713" s="220" t="s">
        <v>1369</v>
      </c>
      <c r="H713" s="221" t="s">
        <v>1370</v>
      </c>
    </row>
    <row customHeight="true" ht="16.071428571428573" r="714">
      <c r="A714" s="220">
        <v>678</v>
      </c>
      <c r="B714" s="221" t="s">
        <v>1353</v>
      </c>
      <c r="C714" s="221" t="s">
        <v>1367</v>
      </c>
      <c r="D714" s="221" t="s">
        <v>1368</v>
      </c>
      <c r="E714" s="222">
        <v>42.3</v>
      </c>
      <c r="F714" s="223">
        <v>0.75</v>
      </c>
      <c r="G714" s="220" t="s">
        <v>1369</v>
      </c>
      <c r="H714" s="221" t="s">
        <v>1370</v>
      </c>
    </row>
    <row customHeight="true" ht="16.071428571428573" r="715">
      <c r="A715" s="220">
        <v>679</v>
      </c>
      <c r="B715" s="221" t="s">
        <v>1374</v>
      </c>
      <c r="C715" s="221" t="s">
        <v>1379</v>
      </c>
      <c r="D715" s="221" t="s">
        <v>1376</v>
      </c>
      <c r="E715" s="222">
        <v>44.5</v>
      </c>
      <c r="F715" s="223">
        <v>1.32</v>
      </c>
      <c r="G715" s="220" t="s">
        <v>1369</v>
      </c>
      <c r="H715" s="221" t="s">
        <v>1370</v>
      </c>
    </row>
    <row customHeight="true" ht="16.071428571428573" r="716">
      <c r="A716" s="220">
        <v>680</v>
      </c>
      <c r="B716" s="221" t="s">
        <v>1374</v>
      </c>
      <c r="C716" s="221" t="s">
        <v>1377</v>
      </c>
      <c r="D716" s="221" t="s">
        <v>1376</v>
      </c>
      <c r="E716" s="222">
        <v>56.9</v>
      </c>
      <c r="F716" s="223">
        <v>3.21</v>
      </c>
      <c r="G716" s="220" t="s">
        <v>1381</v>
      </c>
      <c r="H716" s="221" t="s">
        <v>1390</v>
      </c>
    </row>
    <row customHeight="true" ht="16.071428571428573" r="717">
      <c r="A717" s="220">
        <v>681</v>
      </c>
      <c r="B717" s="221" t="s">
        <v>1374</v>
      </c>
      <c r="C717" s="221" t="s">
        <v>1375</v>
      </c>
      <c r="D717" s="221" t="s">
        <v>1376</v>
      </c>
      <c r="E717" s="222">
        <v>38.3</v>
      </c>
      <c r="F717" s="223">
        <v>1.04</v>
      </c>
      <c r="G717" s="220" t="s">
        <v>1369</v>
      </c>
      <c r="H717" s="221" t="s">
        <v>1370</v>
      </c>
    </row>
    <row customHeight="true" ht="16.071428571428573" r="718">
      <c r="A718" s="220">
        <v>682</v>
      </c>
      <c r="B718" s="221" t="s">
        <v>1374</v>
      </c>
      <c r="C718" s="221" t="s">
        <v>1388</v>
      </c>
      <c r="D718" s="221" t="s">
        <v>1376</v>
      </c>
      <c r="E718" s="222">
        <v>42.4</v>
      </c>
      <c r="F718" s="223">
        <v>0.53</v>
      </c>
      <c r="G718" s="220" t="s">
        <v>1369</v>
      </c>
      <c r="H718" s="221" t="s">
        <v>1370</v>
      </c>
    </row>
    <row customHeight="true" ht="16.071428571428573" r="719">
      <c r="A719" s="220">
        <v>683</v>
      </c>
      <c r="B719" s="221" t="s">
        <v>1351</v>
      </c>
      <c r="C719" s="221" t="s">
        <v>1389</v>
      </c>
      <c r="D719" s="221" t="s">
        <v>1378</v>
      </c>
      <c r="E719" s="222">
        <v>41.3</v>
      </c>
      <c r="F719" s="223">
        <v>1.9</v>
      </c>
      <c r="G719" s="220" t="s">
        <v>1369</v>
      </c>
      <c r="H719" s="221" t="s">
        <v>1370</v>
      </c>
    </row>
    <row customHeight="true" ht="16.071428571428573" r="720">
      <c r="A720" s="220">
        <v>684</v>
      </c>
      <c r="B720" s="221" t="s">
        <v>1351</v>
      </c>
      <c r="C720" s="221" t="s">
        <v>1367</v>
      </c>
      <c r="D720" s="221" t="s">
        <v>1378</v>
      </c>
      <c r="E720" s="222">
        <v>43.7</v>
      </c>
      <c r="F720" s="223">
        <v>1.11</v>
      </c>
      <c r="G720" s="220" t="s">
        <v>1369</v>
      </c>
      <c r="H720" s="221" t="s">
        <v>1370</v>
      </c>
    </row>
    <row customHeight="true" ht="16.071428571428573" r="721">
      <c r="A721" s="220">
        <v>685</v>
      </c>
      <c r="B721" s="221" t="s">
        <v>1374</v>
      </c>
      <c r="C721" s="221" t="s">
        <v>1388</v>
      </c>
      <c r="D721" s="221" t="s">
        <v>1376</v>
      </c>
      <c r="E721" s="222">
        <v>37.5</v>
      </c>
      <c r="F721" s="223">
        <v>1.19</v>
      </c>
      <c r="G721" s="220" t="s">
        <v>1369</v>
      </c>
      <c r="H721" s="221" t="s">
        <v>1370</v>
      </c>
    </row>
    <row customHeight="true" ht="16.071428571428573" r="722">
      <c r="A722" s="220">
        <v>686</v>
      </c>
      <c r="B722" s="221" t="s">
        <v>1353</v>
      </c>
      <c r="C722" s="221" t="s">
        <v>1377</v>
      </c>
      <c r="D722" s="221" t="s">
        <v>1368</v>
      </c>
      <c r="E722" s="222">
        <v>36.9</v>
      </c>
      <c r="F722" s="223">
        <v>1.71</v>
      </c>
      <c r="G722" s="220" t="s">
        <v>1369</v>
      </c>
      <c r="H722" s="221" t="s">
        <v>1370</v>
      </c>
    </row>
    <row customHeight="true" ht="16.071428571428573" r="723">
      <c r="A723" s="220">
        <v>687</v>
      </c>
      <c r="B723" s="221" t="s">
        <v>1374</v>
      </c>
      <c r="C723" s="221" t="s">
        <v>1389</v>
      </c>
      <c r="D723" s="221" t="s">
        <v>1376</v>
      </c>
      <c r="E723" s="222">
        <v>40.1</v>
      </c>
      <c r="F723" s="223">
        <v>0.95</v>
      </c>
      <c r="G723" s="220" t="s">
        <v>1369</v>
      </c>
      <c r="H723" s="221" t="s">
        <v>1370</v>
      </c>
    </row>
    <row customHeight="true" ht="16.071428571428573" r="724">
      <c r="A724" s="220">
        <v>688</v>
      </c>
      <c r="B724" s="221" t="s">
        <v>1353</v>
      </c>
      <c r="C724" s="221" t="s">
        <v>1386</v>
      </c>
      <c r="D724" s="221" t="s">
        <v>1368</v>
      </c>
      <c r="E724" s="222">
        <v>45.5</v>
      </c>
      <c r="F724" s="223">
        <v>0.84</v>
      </c>
      <c r="G724" s="220" t="s">
        <v>1369</v>
      </c>
      <c r="H724" s="221" t="s">
        <v>1370</v>
      </c>
    </row>
    <row customHeight="true" ht="16.071428571428573" r="725">
      <c r="A725" s="220">
        <v>689</v>
      </c>
      <c r="B725" s="221" t="s">
        <v>1351</v>
      </c>
      <c r="C725" s="221" t="s">
        <v>1380</v>
      </c>
      <c r="D725" s="221" t="s">
        <v>1378</v>
      </c>
      <c r="E725" s="222">
        <v>37.8</v>
      </c>
      <c r="F725" s="223">
        <v>0.59</v>
      </c>
      <c r="G725" s="220" t="s">
        <v>1369</v>
      </c>
      <c r="H725" s="221" t="s">
        <v>1370</v>
      </c>
    </row>
    <row customHeight="true" ht="16.071428571428573" r="726">
      <c r="A726" s="220">
        <v>690</v>
      </c>
      <c r="B726" s="221" t="s">
        <v>1351</v>
      </c>
      <c r="C726" s="221" t="s">
        <v>1367</v>
      </c>
      <c r="D726" s="221" t="s">
        <v>1378</v>
      </c>
      <c r="E726" s="222">
        <v>38.3</v>
      </c>
      <c r="F726" s="223">
        <v>1.59</v>
      </c>
      <c r="G726" s="220" t="s">
        <v>1369</v>
      </c>
      <c r="H726" s="221" t="s">
        <v>1370</v>
      </c>
    </row>
    <row customHeight="true" ht="16.071428571428573" r="727">
      <c r="A727" s="220">
        <v>691</v>
      </c>
      <c r="B727" s="221" t="s">
        <v>1374</v>
      </c>
      <c r="C727" s="221" t="s">
        <v>1377</v>
      </c>
      <c r="D727" s="221" t="s">
        <v>1376</v>
      </c>
      <c r="E727" s="222">
        <v>43</v>
      </c>
      <c r="F727" s="223">
        <v>0.91</v>
      </c>
      <c r="G727" s="220" t="s">
        <v>1369</v>
      </c>
      <c r="H727" s="221" t="s">
        <v>1370</v>
      </c>
    </row>
    <row customHeight="true" ht="16.071428571428573" r="728">
      <c r="A728" s="220">
        <v>692</v>
      </c>
      <c r="B728" s="221" t="s">
        <v>1353</v>
      </c>
      <c r="C728" s="221" t="s">
        <v>1384</v>
      </c>
      <c r="D728" s="221" t="s">
        <v>1368</v>
      </c>
      <c r="E728" s="222">
        <v>37</v>
      </c>
      <c r="F728" s="223">
        <v>1.61</v>
      </c>
      <c r="G728" s="220" t="s">
        <v>1369</v>
      </c>
      <c r="H728" s="221" t="s">
        <v>1370</v>
      </c>
    </row>
    <row customHeight="true" ht="16.071428571428573" r="729">
      <c r="A729" s="220">
        <v>693</v>
      </c>
      <c r="B729" s="221" t="s">
        <v>1351</v>
      </c>
      <c r="C729" s="221" t="s">
        <v>1380</v>
      </c>
      <c r="D729" s="221" t="s">
        <v>1378</v>
      </c>
      <c r="E729" s="222">
        <v>43.5</v>
      </c>
      <c r="F729" s="223">
        <v>0.66</v>
      </c>
      <c r="G729" s="220" t="s">
        <v>1369</v>
      </c>
      <c r="H729" s="221" t="s">
        <v>1370</v>
      </c>
    </row>
    <row customHeight="true" ht="16.071428571428573" r="730">
      <c r="A730" s="220">
        <v>694</v>
      </c>
      <c r="B730" s="221" t="s">
        <v>1371</v>
      </c>
      <c r="C730" s="221" t="s">
        <v>1388</v>
      </c>
      <c r="D730" s="221" t="s">
        <v>1373</v>
      </c>
      <c r="E730" s="222">
        <v>41.2</v>
      </c>
      <c r="F730" s="223">
        <v>1.9</v>
      </c>
      <c r="G730" s="220" t="s">
        <v>1369</v>
      </c>
      <c r="H730" s="221" t="s">
        <v>1370</v>
      </c>
    </row>
    <row customHeight="true" ht="16.071428571428573" r="731">
      <c r="A731" s="220">
        <v>695</v>
      </c>
      <c r="B731" s="221" t="s">
        <v>1371</v>
      </c>
      <c r="C731" s="221" t="s">
        <v>1388</v>
      </c>
      <c r="D731" s="221" t="s">
        <v>1373</v>
      </c>
      <c r="E731" s="222">
        <v>41.4</v>
      </c>
      <c r="F731" s="223">
        <v>0.84</v>
      </c>
      <c r="G731" s="220" t="s">
        <v>1369</v>
      </c>
      <c r="H731" s="221" t="s">
        <v>1370</v>
      </c>
    </row>
    <row customHeight="true" ht="16.071428571428573" r="732">
      <c r="A732" s="220">
        <v>696</v>
      </c>
      <c r="B732" s="221" t="s">
        <v>1371</v>
      </c>
      <c r="C732" s="221" t="s">
        <v>1375</v>
      </c>
      <c r="D732" s="221" t="s">
        <v>1373</v>
      </c>
      <c r="E732" s="222">
        <v>38.1</v>
      </c>
      <c r="F732" s="223">
        <v>0.79</v>
      </c>
      <c r="G732" s="220" t="s">
        <v>1369</v>
      </c>
      <c r="H732" s="221" t="s">
        <v>1370</v>
      </c>
    </row>
    <row customHeight="true" ht="16.071428571428573" r="733">
      <c r="A733" s="220">
        <v>697</v>
      </c>
      <c r="B733" s="221" t="s">
        <v>1353</v>
      </c>
      <c r="C733" s="221" t="s">
        <v>1372</v>
      </c>
      <c r="D733" s="221" t="s">
        <v>1368</v>
      </c>
      <c r="E733" s="222">
        <v>40.6</v>
      </c>
      <c r="F733" s="223">
        <v>0.66</v>
      </c>
      <c r="G733" s="220" t="s">
        <v>1369</v>
      </c>
      <c r="H733" s="221" t="s">
        <v>1370</v>
      </c>
    </row>
    <row customHeight="true" ht="16.071428571428573" r="734">
      <c r="A734" s="220">
        <v>698</v>
      </c>
      <c r="B734" s="221" t="s">
        <v>1374</v>
      </c>
      <c r="C734" s="221" t="s">
        <v>1380</v>
      </c>
      <c r="D734" s="221" t="s">
        <v>1376</v>
      </c>
      <c r="E734" s="222">
        <v>40.8</v>
      </c>
      <c r="F734" s="223">
        <v>1.07</v>
      </c>
      <c r="G734" s="220" t="s">
        <v>1369</v>
      </c>
      <c r="H734" s="221" t="s">
        <v>1370</v>
      </c>
    </row>
    <row customHeight="true" ht="16.071428571428573" r="735">
      <c r="A735" s="220">
        <v>699</v>
      </c>
      <c r="B735" s="221" t="s">
        <v>1353</v>
      </c>
      <c r="C735" s="221" t="s">
        <v>1377</v>
      </c>
      <c r="D735" s="221" t="s">
        <v>1368</v>
      </c>
      <c r="E735" s="222">
        <v>41.7</v>
      </c>
      <c r="F735" s="223">
        <v>1.23</v>
      </c>
      <c r="G735" s="220" t="s">
        <v>1369</v>
      </c>
      <c r="H735" s="221" t="s">
        <v>1370</v>
      </c>
    </row>
    <row customHeight="true" ht="16.071428571428573" r="736">
      <c r="A736" s="220">
        <v>700</v>
      </c>
      <c r="B736" s="221" t="s">
        <v>1353</v>
      </c>
      <c r="C736" s="221" t="s">
        <v>1384</v>
      </c>
      <c r="D736" s="221" t="s">
        <v>1368</v>
      </c>
      <c r="E736" s="222">
        <v>42.7</v>
      </c>
      <c r="F736" s="223">
        <v>1.43</v>
      </c>
      <c r="G736" s="220" t="s">
        <v>1369</v>
      </c>
      <c r="H736" s="221" t="s">
        <v>1370</v>
      </c>
    </row>
    <row customHeight="true" ht="16.071428571428573" r="737">
      <c r="A737" s="220">
        <v>701</v>
      </c>
      <c r="B737" s="221" t="s">
        <v>1374</v>
      </c>
      <c r="C737" s="221" t="s">
        <v>1386</v>
      </c>
      <c r="D737" s="221" t="s">
        <v>1376</v>
      </c>
      <c r="E737" s="222">
        <v>41.2</v>
      </c>
      <c r="F737" s="223">
        <v>0.87</v>
      </c>
      <c r="G737" s="220" t="s">
        <v>1369</v>
      </c>
      <c r="H737" s="221" t="s">
        <v>1370</v>
      </c>
    </row>
    <row customHeight="true" ht="16.071428571428573" r="738">
      <c r="A738" s="220">
        <v>702</v>
      </c>
      <c r="B738" s="221" t="s">
        <v>1351</v>
      </c>
      <c r="C738" s="221" t="s">
        <v>1383</v>
      </c>
      <c r="D738" s="221" t="s">
        <v>1378</v>
      </c>
      <c r="E738" s="222">
        <v>39.4</v>
      </c>
      <c r="F738" s="223">
        <v>0.51</v>
      </c>
      <c r="G738" s="220" t="s">
        <v>1369</v>
      </c>
      <c r="H738" s="221" t="s">
        <v>1370</v>
      </c>
    </row>
    <row customHeight="true" ht="16.071428571428573" r="739">
      <c r="A739" s="220">
        <v>703</v>
      </c>
      <c r="B739" s="221" t="s">
        <v>1351</v>
      </c>
      <c r="C739" s="221" t="s">
        <v>1367</v>
      </c>
      <c r="D739" s="221" t="s">
        <v>1378</v>
      </c>
      <c r="E739" s="222">
        <v>45.1</v>
      </c>
      <c r="F739" s="223">
        <v>1</v>
      </c>
      <c r="G739" s="220" t="s">
        <v>1369</v>
      </c>
      <c r="H739" s="221" t="s">
        <v>1370</v>
      </c>
    </row>
    <row customHeight="true" ht="16.071428571428573" r="740">
      <c r="A740" s="220">
        <v>704</v>
      </c>
      <c r="B740" s="221" t="s">
        <v>1374</v>
      </c>
      <c r="C740" s="221" t="s">
        <v>1377</v>
      </c>
      <c r="D740" s="221" t="s">
        <v>1376</v>
      </c>
      <c r="E740" s="222">
        <v>38</v>
      </c>
      <c r="F740" s="223">
        <v>1.87</v>
      </c>
      <c r="G740" s="220" t="s">
        <v>1369</v>
      </c>
      <c r="H740" s="221" t="s">
        <v>1370</v>
      </c>
    </row>
    <row customHeight="true" ht="16.071428571428573" r="741">
      <c r="A741" s="220">
        <v>705</v>
      </c>
      <c r="B741" s="221" t="s">
        <v>1374</v>
      </c>
      <c r="C741" s="221" t="s">
        <v>1367</v>
      </c>
      <c r="D741" s="221" t="s">
        <v>1376</v>
      </c>
      <c r="E741" s="222">
        <v>40.7</v>
      </c>
      <c r="F741" s="223">
        <v>0.97</v>
      </c>
      <c r="G741" s="220" t="s">
        <v>1369</v>
      </c>
      <c r="H741" s="221" t="s">
        <v>1370</v>
      </c>
    </row>
    <row customHeight="true" ht="16.071428571428573" r="742">
      <c r="A742" s="220">
        <v>706</v>
      </c>
      <c r="B742" s="221" t="s">
        <v>1353</v>
      </c>
      <c r="C742" s="221" t="s">
        <v>1383</v>
      </c>
      <c r="D742" s="221" t="s">
        <v>1368</v>
      </c>
      <c r="E742" s="222">
        <v>38.9</v>
      </c>
      <c r="F742" s="223">
        <v>1</v>
      </c>
      <c r="G742" s="220" t="s">
        <v>1369</v>
      </c>
      <c r="H742" s="221" t="s">
        <v>1370</v>
      </c>
    </row>
    <row customHeight="true" ht="16.071428571428573" r="743">
      <c r="A743" s="220">
        <v>707</v>
      </c>
      <c r="B743" s="221" t="s">
        <v>1351</v>
      </c>
      <c r="C743" s="221" t="s">
        <v>1372</v>
      </c>
      <c r="D743" s="221" t="s">
        <v>1378</v>
      </c>
      <c r="E743" s="222">
        <v>43.2</v>
      </c>
      <c r="F743" s="223">
        <v>0.89</v>
      </c>
      <c r="G743" s="220" t="s">
        <v>1369</v>
      </c>
      <c r="H743" s="221" t="s">
        <v>1370</v>
      </c>
    </row>
    <row customHeight="true" ht="16.071428571428573" r="744">
      <c r="A744" s="220">
        <v>708</v>
      </c>
      <c r="B744" s="221" t="s">
        <v>1353</v>
      </c>
      <c r="C744" s="221" t="s">
        <v>1379</v>
      </c>
      <c r="D744" s="221" t="s">
        <v>1368</v>
      </c>
      <c r="E744" s="222">
        <v>41.8</v>
      </c>
      <c r="F744" s="223">
        <v>0.68</v>
      </c>
      <c r="G744" s="220" t="s">
        <v>1369</v>
      </c>
      <c r="H744" s="221" t="s">
        <v>1370</v>
      </c>
    </row>
    <row customHeight="true" ht="16.071428571428573" r="745">
      <c r="A745" s="220">
        <v>709</v>
      </c>
      <c r="B745" s="221" t="s">
        <v>1351</v>
      </c>
      <c r="C745" s="221" t="s">
        <v>1377</v>
      </c>
      <c r="D745" s="221" t="s">
        <v>1378</v>
      </c>
      <c r="E745" s="222">
        <v>44.1</v>
      </c>
      <c r="F745" s="223">
        <v>1.53</v>
      </c>
      <c r="G745" s="220" t="s">
        <v>1369</v>
      </c>
      <c r="H745" s="221" t="s">
        <v>1370</v>
      </c>
    </row>
    <row customHeight="true" ht="16.071428571428573" r="746">
      <c r="A746" s="220">
        <v>710</v>
      </c>
      <c r="B746" s="221" t="s">
        <v>1351</v>
      </c>
      <c r="C746" s="221" t="s">
        <v>1375</v>
      </c>
      <c r="D746" s="221" t="s">
        <v>1378</v>
      </c>
      <c r="E746" s="222">
        <v>41.9</v>
      </c>
      <c r="F746" s="223">
        <v>0.73</v>
      </c>
      <c r="G746" s="220" t="s">
        <v>1369</v>
      </c>
      <c r="H746" s="221" t="s">
        <v>1370</v>
      </c>
    </row>
    <row customHeight="true" ht="16.071428571428573" r="747">
      <c r="A747" s="220">
        <v>711</v>
      </c>
      <c r="B747" s="221" t="s">
        <v>1351</v>
      </c>
      <c r="C747" s="221" t="s">
        <v>1384</v>
      </c>
      <c r="D747" s="221" t="s">
        <v>1378</v>
      </c>
      <c r="E747" s="222">
        <v>57.9</v>
      </c>
      <c r="F747" s="223">
        <v>3.55</v>
      </c>
      <c r="G747" s="220" t="s">
        <v>1381</v>
      </c>
      <c r="H747" s="221" t="s">
        <v>1387</v>
      </c>
    </row>
    <row customHeight="true" ht="16.071428571428573" r="748">
      <c r="A748" s="220">
        <v>712</v>
      </c>
      <c r="B748" s="221" t="s">
        <v>1353</v>
      </c>
      <c r="C748" s="221" t="s">
        <v>1380</v>
      </c>
      <c r="D748" s="221" t="s">
        <v>1368</v>
      </c>
      <c r="E748" s="222">
        <v>45</v>
      </c>
      <c r="F748" s="223">
        <v>0.83</v>
      </c>
      <c r="G748" s="220" t="s">
        <v>1369</v>
      </c>
      <c r="H748" s="221" t="s">
        <v>1370</v>
      </c>
    </row>
    <row customHeight="true" ht="16.071428571428573" r="749">
      <c r="A749" s="220">
        <v>713</v>
      </c>
      <c r="B749" s="221" t="s">
        <v>1374</v>
      </c>
      <c r="C749" s="221" t="s">
        <v>1383</v>
      </c>
      <c r="D749" s="221" t="s">
        <v>1376</v>
      </c>
      <c r="E749" s="222">
        <v>43.3</v>
      </c>
      <c r="F749" s="223">
        <v>0.93</v>
      </c>
      <c r="G749" s="220" t="s">
        <v>1369</v>
      </c>
      <c r="H749" s="221" t="s">
        <v>1370</v>
      </c>
    </row>
    <row customHeight="true" ht="16.071428571428573" r="750">
      <c r="A750" s="220">
        <v>714</v>
      </c>
      <c r="B750" s="221" t="s">
        <v>1374</v>
      </c>
      <c r="C750" s="221" t="s">
        <v>1375</v>
      </c>
      <c r="D750" s="221" t="s">
        <v>1376</v>
      </c>
      <c r="E750" s="222">
        <v>44.4</v>
      </c>
      <c r="F750" s="223">
        <v>0.76</v>
      </c>
      <c r="G750" s="220" t="s">
        <v>1369</v>
      </c>
      <c r="H750" s="221" t="s">
        <v>1370</v>
      </c>
    </row>
    <row customHeight="true" ht="16.071428571428573" r="751">
      <c r="A751" s="220">
        <v>715</v>
      </c>
      <c r="B751" s="221" t="s">
        <v>1351</v>
      </c>
      <c r="C751" s="221" t="s">
        <v>1383</v>
      </c>
      <c r="D751" s="221" t="s">
        <v>1378</v>
      </c>
      <c r="E751" s="222">
        <v>45.3</v>
      </c>
      <c r="F751" s="223">
        <v>1.96</v>
      </c>
      <c r="G751" s="220" t="s">
        <v>1369</v>
      </c>
      <c r="H751" s="221" t="s">
        <v>1370</v>
      </c>
    </row>
    <row customHeight="true" ht="16.071428571428573" r="752">
      <c r="A752" s="220">
        <v>716</v>
      </c>
      <c r="B752" s="221" t="s">
        <v>1374</v>
      </c>
      <c r="C752" s="221" t="s">
        <v>1367</v>
      </c>
      <c r="D752" s="221" t="s">
        <v>1376</v>
      </c>
      <c r="E752" s="222">
        <v>41.5</v>
      </c>
      <c r="F752" s="223">
        <v>1.64</v>
      </c>
      <c r="G752" s="220" t="s">
        <v>1369</v>
      </c>
      <c r="H752" s="221" t="s">
        <v>1370</v>
      </c>
    </row>
    <row customHeight="true" ht="16.071428571428573" r="753">
      <c r="A753" s="220">
        <v>717</v>
      </c>
      <c r="B753" s="221" t="s">
        <v>1353</v>
      </c>
      <c r="C753" s="221" t="s">
        <v>1372</v>
      </c>
      <c r="D753" s="221" t="s">
        <v>1368</v>
      </c>
      <c r="E753" s="222">
        <v>37.9</v>
      </c>
      <c r="F753" s="223">
        <v>1.18</v>
      </c>
      <c r="G753" s="220" t="s">
        <v>1369</v>
      </c>
      <c r="H753" s="221" t="s">
        <v>1370</v>
      </c>
    </row>
    <row customHeight="true" ht="16.071428571428573" r="754">
      <c r="A754" s="220">
        <v>718</v>
      </c>
      <c r="B754" s="221" t="s">
        <v>1374</v>
      </c>
      <c r="C754" s="221" t="s">
        <v>1380</v>
      </c>
      <c r="D754" s="221" t="s">
        <v>1376</v>
      </c>
      <c r="E754" s="222">
        <v>42.9</v>
      </c>
      <c r="F754" s="223">
        <v>0.75</v>
      </c>
      <c r="G754" s="220" t="s">
        <v>1369</v>
      </c>
      <c r="H754" s="221" t="s">
        <v>1370</v>
      </c>
    </row>
    <row customHeight="true" ht="16.071428571428573" r="755">
      <c r="A755" s="220">
        <v>719</v>
      </c>
      <c r="B755" s="221" t="s">
        <v>1374</v>
      </c>
      <c r="C755" s="221" t="s">
        <v>1367</v>
      </c>
      <c r="D755" s="221" t="s">
        <v>1376</v>
      </c>
      <c r="E755" s="222">
        <v>36.4</v>
      </c>
      <c r="F755" s="223">
        <v>1.02</v>
      </c>
      <c r="G755" s="220" t="s">
        <v>1369</v>
      </c>
      <c r="H755" s="221" t="s">
        <v>1370</v>
      </c>
    </row>
    <row customHeight="true" ht="16.071428571428573" r="756">
      <c r="A756" s="220">
        <v>720</v>
      </c>
      <c r="B756" s="221" t="s">
        <v>1353</v>
      </c>
      <c r="C756" s="221" t="s">
        <v>1386</v>
      </c>
      <c r="D756" s="221" t="s">
        <v>1368</v>
      </c>
      <c r="E756" s="222">
        <v>37.3</v>
      </c>
      <c r="F756" s="223">
        <v>0.86</v>
      </c>
      <c r="G756" s="220" t="s">
        <v>1369</v>
      </c>
      <c r="H756" s="221" t="s">
        <v>1370</v>
      </c>
    </row>
    <row customHeight="true" ht="16.071428571428573" r="757">
      <c r="A757" s="220">
        <v>721</v>
      </c>
      <c r="B757" s="221" t="s">
        <v>1351</v>
      </c>
      <c r="C757" s="221" t="s">
        <v>1367</v>
      </c>
      <c r="D757" s="221" t="s">
        <v>1378</v>
      </c>
      <c r="E757" s="222">
        <v>38.6</v>
      </c>
      <c r="F757" s="223">
        <v>1.03</v>
      </c>
      <c r="G757" s="220" t="s">
        <v>1369</v>
      </c>
      <c r="H757" s="221" t="s">
        <v>1370</v>
      </c>
    </row>
    <row customHeight="true" ht="16.071428571428573" r="758">
      <c r="A758" s="220">
        <v>722</v>
      </c>
      <c r="B758" s="221" t="s">
        <v>1351</v>
      </c>
      <c r="C758" s="221" t="s">
        <v>1386</v>
      </c>
      <c r="D758" s="221" t="s">
        <v>1378</v>
      </c>
      <c r="E758" s="222">
        <v>36.5</v>
      </c>
      <c r="F758" s="223">
        <v>0.93</v>
      </c>
      <c r="G758" s="220" t="s">
        <v>1369</v>
      </c>
      <c r="H758" s="221" t="s">
        <v>1370</v>
      </c>
    </row>
    <row customHeight="true" ht="16.071428571428573" r="759">
      <c r="A759" s="220">
        <v>723</v>
      </c>
      <c r="B759" s="221" t="s">
        <v>1371</v>
      </c>
      <c r="C759" s="221" t="s">
        <v>1372</v>
      </c>
      <c r="D759" s="221" t="s">
        <v>1373</v>
      </c>
      <c r="E759" s="222">
        <v>45.7</v>
      </c>
      <c r="F759" s="223">
        <v>1.98</v>
      </c>
      <c r="G759" s="220" t="s">
        <v>1369</v>
      </c>
      <c r="H759" s="221" t="s">
        <v>1370</v>
      </c>
    </row>
    <row customHeight="true" ht="16.071428571428573" r="760">
      <c r="A760" s="220">
        <v>724</v>
      </c>
      <c r="B760" s="221" t="s">
        <v>1351</v>
      </c>
      <c r="C760" s="221" t="s">
        <v>1367</v>
      </c>
      <c r="D760" s="221" t="s">
        <v>1378</v>
      </c>
      <c r="E760" s="222">
        <v>38.9</v>
      </c>
      <c r="F760" s="223">
        <v>1.01</v>
      </c>
      <c r="G760" s="220" t="s">
        <v>1369</v>
      </c>
      <c r="H760" s="221" t="s">
        <v>1370</v>
      </c>
    </row>
    <row customHeight="true" ht="16.071428571428573" r="761">
      <c r="A761" s="220">
        <v>725</v>
      </c>
      <c r="B761" s="221" t="s">
        <v>1374</v>
      </c>
      <c r="C761" s="221" t="s">
        <v>1372</v>
      </c>
      <c r="D761" s="221" t="s">
        <v>1376</v>
      </c>
      <c r="E761" s="222">
        <v>38.5</v>
      </c>
      <c r="F761" s="223">
        <v>1.96</v>
      </c>
      <c r="G761" s="220" t="s">
        <v>1369</v>
      </c>
      <c r="H761" s="221" t="s">
        <v>1370</v>
      </c>
    </row>
    <row customHeight="true" ht="16.071428571428573" r="762">
      <c r="A762" s="220">
        <v>726</v>
      </c>
      <c r="B762" s="221" t="s">
        <v>1374</v>
      </c>
      <c r="C762" s="221" t="s">
        <v>1389</v>
      </c>
      <c r="D762" s="221" t="s">
        <v>1376</v>
      </c>
      <c r="E762" s="222">
        <v>36.4</v>
      </c>
      <c r="F762" s="223">
        <v>1.76</v>
      </c>
      <c r="G762" s="220" t="s">
        <v>1369</v>
      </c>
      <c r="H762" s="221" t="s">
        <v>1370</v>
      </c>
    </row>
    <row customHeight="true" ht="16.071428571428573" r="763">
      <c r="A763" s="220">
        <v>727</v>
      </c>
      <c r="B763" s="221" t="s">
        <v>1353</v>
      </c>
      <c r="C763" s="221" t="s">
        <v>1389</v>
      </c>
      <c r="D763" s="221" t="s">
        <v>1368</v>
      </c>
      <c r="E763" s="222">
        <v>40.3</v>
      </c>
      <c r="F763" s="223">
        <v>1.49</v>
      </c>
      <c r="G763" s="220" t="s">
        <v>1369</v>
      </c>
      <c r="H763" s="221" t="s">
        <v>1370</v>
      </c>
    </row>
    <row customHeight="true" ht="16.071428571428573" r="764">
      <c r="A764" s="220">
        <v>728</v>
      </c>
      <c r="B764" s="221" t="s">
        <v>1374</v>
      </c>
      <c r="C764" s="221" t="s">
        <v>1372</v>
      </c>
      <c r="D764" s="221" t="s">
        <v>1376</v>
      </c>
      <c r="E764" s="222">
        <v>38.5</v>
      </c>
      <c r="F764" s="223">
        <v>0.7</v>
      </c>
      <c r="G764" s="220" t="s">
        <v>1369</v>
      </c>
      <c r="H764" s="221" t="s">
        <v>1370</v>
      </c>
    </row>
    <row customHeight="true" ht="16.071428571428573" r="765">
      <c r="A765" s="220">
        <v>729</v>
      </c>
      <c r="B765" s="221" t="s">
        <v>1371</v>
      </c>
      <c r="C765" s="221" t="s">
        <v>1375</v>
      </c>
      <c r="D765" s="221" t="s">
        <v>1373</v>
      </c>
      <c r="E765" s="222">
        <v>36.8</v>
      </c>
      <c r="F765" s="223">
        <v>0.86</v>
      </c>
      <c r="G765" s="220" t="s">
        <v>1369</v>
      </c>
      <c r="H765" s="221" t="s">
        <v>1370</v>
      </c>
    </row>
    <row customHeight="true" ht="16.071428571428573" r="766">
      <c r="A766" s="220">
        <v>730</v>
      </c>
      <c r="B766" s="221" t="s">
        <v>1374</v>
      </c>
      <c r="C766" s="221" t="s">
        <v>1367</v>
      </c>
      <c r="D766" s="221" t="s">
        <v>1376</v>
      </c>
      <c r="E766" s="222">
        <v>49.3</v>
      </c>
      <c r="F766" s="223">
        <v>3.7</v>
      </c>
      <c r="G766" s="220" t="s">
        <v>1381</v>
      </c>
      <c r="H766" s="221" t="s">
        <v>1390</v>
      </c>
    </row>
    <row customHeight="true" ht="16.071428571428573" r="767">
      <c r="A767" s="220">
        <v>731</v>
      </c>
      <c r="B767" s="221" t="s">
        <v>1374</v>
      </c>
      <c r="C767" s="221" t="s">
        <v>1388</v>
      </c>
      <c r="D767" s="221" t="s">
        <v>1376</v>
      </c>
      <c r="E767" s="222">
        <v>40.7</v>
      </c>
      <c r="F767" s="223">
        <v>1.86</v>
      </c>
      <c r="G767" s="220" t="s">
        <v>1369</v>
      </c>
      <c r="H767" s="221" t="s">
        <v>1370</v>
      </c>
    </row>
    <row customHeight="true" ht="16.071428571428573" r="768">
      <c r="A768" s="220">
        <v>732</v>
      </c>
      <c r="B768" s="221" t="s">
        <v>1353</v>
      </c>
      <c r="C768" s="221" t="s">
        <v>1367</v>
      </c>
      <c r="D768" s="221" t="s">
        <v>1368</v>
      </c>
      <c r="E768" s="222">
        <v>40.9</v>
      </c>
      <c r="F768" s="223">
        <v>2.03</v>
      </c>
      <c r="G768" s="220" t="s">
        <v>1369</v>
      </c>
      <c r="H768" s="221" t="s">
        <v>1370</v>
      </c>
    </row>
    <row customHeight="true" ht="16.071428571428573" r="769">
      <c r="A769" s="220">
        <v>733</v>
      </c>
      <c r="B769" s="221" t="s">
        <v>1371</v>
      </c>
      <c r="C769" s="221" t="s">
        <v>1383</v>
      </c>
      <c r="D769" s="221" t="s">
        <v>1373</v>
      </c>
      <c r="E769" s="222">
        <v>38.3</v>
      </c>
      <c r="F769" s="223">
        <v>1.21</v>
      </c>
      <c r="G769" s="220" t="s">
        <v>1369</v>
      </c>
      <c r="H769" s="221" t="s">
        <v>1370</v>
      </c>
    </row>
    <row customHeight="true" ht="16.071428571428573" r="770">
      <c r="A770" s="220">
        <v>734</v>
      </c>
      <c r="B770" s="221" t="s">
        <v>1371</v>
      </c>
      <c r="C770" s="221" t="s">
        <v>1384</v>
      </c>
      <c r="D770" s="221" t="s">
        <v>1373</v>
      </c>
      <c r="E770" s="222">
        <v>43.4</v>
      </c>
      <c r="F770" s="223">
        <v>1.14</v>
      </c>
      <c r="G770" s="220" t="s">
        <v>1369</v>
      </c>
      <c r="H770" s="221" t="s">
        <v>1370</v>
      </c>
    </row>
    <row customHeight="true" ht="16.071428571428573" r="771">
      <c r="A771" s="220">
        <v>735</v>
      </c>
      <c r="B771" s="221" t="s">
        <v>1374</v>
      </c>
      <c r="C771" s="221" t="s">
        <v>1379</v>
      </c>
      <c r="D771" s="221" t="s">
        <v>1376</v>
      </c>
      <c r="E771" s="222">
        <v>43.5</v>
      </c>
      <c r="F771" s="223">
        <v>1.93</v>
      </c>
      <c r="G771" s="220" t="s">
        <v>1369</v>
      </c>
      <c r="H771" s="221" t="s">
        <v>1370</v>
      </c>
    </row>
    <row customHeight="true" ht="16.071428571428573" r="772">
      <c r="A772" s="220">
        <v>736</v>
      </c>
      <c r="B772" s="221" t="s">
        <v>1351</v>
      </c>
      <c r="C772" s="221" t="s">
        <v>1383</v>
      </c>
      <c r="D772" s="221" t="s">
        <v>1378</v>
      </c>
      <c r="E772" s="222">
        <v>37.2</v>
      </c>
      <c r="F772" s="223">
        <v>1.53</v>
      </c>
      <c r="G772" s="220" t="s">
        <v>1369</v>
      </c>
      <c r="H772" s="221" t="s">
        <v>1370</v>
      </c>
    </row>
    <row customHeight="true" ht="16.071428571428573" r="773">
      <c r="A773" s="220">
        <v>737</v>
      </c>
      <c r="B773" s="221" t="s">
        <v>1351</v>
      </c>
      <c r="C773" s="221" t="s">
        <v>1372</v>
      </c>
      <c r="D773" s="221" t="s">
        <v>1378</v>
      </c>
      <c r="E773" s="222">
        <v>38.4</v>
      </c>
      <c r="F773" s="223">
        <v>0.9</v>
      </c>
      <c r="G773" s="220" t="s">
        <v>1369</v>
      </c>
      <c r="H773" s="221" t="s">
        <v>1370</v>
      </c>
    </row>
    <row customHeight="true" ht="16.071428571428573" r="774">
      <c r="A774" s="220">
        <v>738</v>
      </c>
      <c r="B774" s="221" t="s">
        <v>1371</v>
      </c>
      <c r="C774" s="221" t="s">
        <v>1372</v>
      </c>
      <c r="D774" s="221" t="s">
        <v>1373</v>
      </c>
      <c r="E774" s="222">
        <v>38.3</v>
      </c>
      <c r="F774" s="223">
        <v>1.99</v>
      </c>
      <c r="G774" s="220" t="s">
        <v>1369</v>
      </c>
      <c r="H774" s="221" t="s">
        <v>1370</v>
      </c>
    </row>
    <row customHeight="true" ht="16.071428571428573" r="775">
      <c r="A775" s="220">
        <v>739</v>
      </c>
      <c r="B775" s="221" t="s">
        <v>1351</v>
      </c>
      <c r="C775" s="221" t="s">
        <v>1383</v>
      </c>
      <c r="D775" s="221" t="s">
        <v>1378</v>
      </c>
      <c r="E775" s="222">
        <v>41.4</v>
      </c>
      <c r="F775" s="223">
        <v>0.78</v>
      </c>
      <c r="G775" s="220" t="s">
        <v>1369</v>
      </c>
      <c r="H775" s="221" t="s">
        <v>1370</v>
      </c>
    </row>
    <row customHeight="true" ht="16.071428571428573" r="776">
      <c r="A776" s="220">
        <v>740</v>
      </c>
      <c r="B776" s="221" t="s">
        <v>1374</v>
      </c>
      <c r="C776" s="221" t="s">
        <v>1389</v>
      </c>
      <c r="D776" s="221" t="s">
        <v>1376</v>
      </c>
      <c r="E776" s="222">
        <v>39.3</v>
      </c>
      <c r="F776" s="223">
        <v>1.85</v>
      </c>
      <c r="G776" s="220" t="s">
        <v>1369</v>
      </c>
      <c r="H776" s="221" t="s">
        <v>1370</v>
      </c>
    </row>
    <row customHeight="true" ht="16.071428571428573" r="777">
      <c r="A777" s="220">
        <v>741</v>
      </c>
      <c r="B777" s="221" t="s">
        <v>1353</v>
      </c>
      <c r="C777" s="221" t="s">
        <v>1383</v>
      </c>
      <c r="D777" s="221" t="s">
        <v>1368</v>
      </c>
      <c r="E777" s="222">
        <v>42.2</v>
      </c>
      <c r="F777" s="223">
        <v>1.35</v>
      </c>
      <c r="G777" s="220" t="s">
        <v>1369</v>
      </c>
      <c r="H777" s="221" t="s">
        <v>1370</v>
      </c>
    </row>
    <row customHeight="true" ht="16.071428571428573" r="778">
      <c r="A778" s="220">
        <v>742</v>
      </c>
      <c r="B778" s="221" t="s">
        <v>1353</v>
      </c>
      <c r="C778" s="221" t="s">
        <v>1367</v>
      </c>
      <c r="D778" s="221" t="s">
        <v>1368</v>
      </c>
      <c r="E778" s="222">
        <v>44.2</v>
      </c>
      <c r="F778" s="223">
        <v>0.63</v>
      </c>
      <c r="G778" s="220" t="s">
        <v>1369</v>
      </c>
      <c r="H778" s="221" t="s">
        <v>1370</v>
      </c>
    </row>
    <row customHeight="true" ht="16.071428571428573" r="779">
      <c r="A779" s="220">
        <v>743</v>
      </c>
      <c r="B779" s="221" t="s">
        <v>1374</v>
      </c>
      <c r="C779" s="221" t="s">
        <v>1380</v>
      </c>
      <c r="D779" s="221" t="s">
        <v>1376</v>
      </c>
      <c r="E779" s="222">
        <v>40.4</v>
      </c>
      <c r="F779" s="223">
        <v>1.62</v>
      </c>
      <c r="G779" s="220" t="s">
        <v>1369</v>
      </c>
      <c r="H779" s="221" t="s">
        <v>1370</v>
      </c>
    </row>
    <row customHeight="true" ht="16.071428571428573" r="780">
      <c r="A780" s="220">
        <v>744</v>
      </c>
      <c r="B780" s="221" t="s">
        <v>1374</v>
      </c>
      <c r="C780" s="221" t="s">
        <v>1389</v>
      </c>
      <c r="D780" s="221" t="s">
        <v>1376</v>
      </c>
      <c r="E780" s="222">
        <v>39.8</v>
      </c>
      <c r="F780" s="223">
        <v>0.97</v>
      </c>
      <c r="G780" s="220" t="s">
        <v>1369</v>
      </c>
      <c r="H780" s="221" t="s">
        <v>1370</v>
      </c>
    </row>
    <row customHeight="true" ht="16.071428571428573" r="781">
      <c r="A781" s="220">
        <v>745</v>
      </c>
      <c r="B781" s="221" t="s">
        <v>1374</v>
      </c>
      <c r="C781" s="221" t="s">
        <v>1385</v>
      </c>
      <c r="D781" s="221" t="s">
        <v>1376</v>
      </c>
      <c r="E781" s="222">
        <v>42.6</v>
      </c>
      <c r="F781" s="223">
        <v>1.94</v>
      </c>
      <c r="G781" s="220" t="s">
        <v>1369</v>
      </c>
      <c r="H781" s="221" t="s">
        <v>1370</v>
      </c>
    </row>
    <row customHeight="true" ht="16.071428571428573" r="782">
      <c r="A782" s="220">
        <v>746</v>
      </c>
      <c r="B782" s="221" t="s">
        <v>1374</v>
      </c>
      <c r="C782" s="221" t="s">
        <v>1379</v>
      </c>
      <c r="D782" s="221" t="s">
        <v>1376</v>
      </c>
      <c r="E782" s="222">
        <v>43.1</v>
      </c>
      <c r="F782" s="223">
        <v>1.66</v>
      </c>
      <c r="G782" s="220" t="s">
        <v>1369</v>
      </c>
      <c r="H782" s="221" t="s">
        <v>1370</v>
      </c>
    </row>
    <row customHeight="true" ht="16.071428571428573" r="783">
      <c r="A783" s="220">
        <v>747</v>
      </c>
      <c r="B783" s="221" t="s">
        <v>1374</v>
      </c>
      <c r="C783" s="221" t="s">
        <v>1367</v>
      </c>
      <c r="D783" s="221" t="s">
        <v>1376</v>
      </c>
      <c r="E783" s="222">
        <v>43.7</v>
      </c>
      <c r="F783" s="223">
        <v>0.9</v>
      </c>
      <c r="G783" s="220" t="s">
        <v>1369</v>
      </c>
      <c r="H783" s="221" t="s">
        <v>1370</v>
      </c>
    </row>
    <row customHeight="true" ht="16.071428571428573" r="784">
      <c r="A784" s="220">
        <v>748</v>
      </c>
      <c r="B784" s="221" t="s">
        <v>1374</v>
      </c>
      <c r="C784" s="221" t="s">
        <v>1383</v>
      </c>
      <c r="D784" s="221" t="s">
        <v>1376</v>
      </c>
      <c r="E784" s="222">
        <v>45</v>
      </c>
      <c r="F784" s="223">
        <v>0.94</v>
      </c>
      <c r="G784" s="220" t="s">
        <v>1369</v>
      </c>
      <c r="H784" s="221" t="s">
        <v>1370</v>
      </c>
    </row>
    <row customHeight="true" ht="16.071428571428573" r="785">
      <c r="A785" s="220">
        <v>749</v>
      </c>
      <c r="B785" s="221" t="s">
        <v>1374</v>
      </c>
      <c r="C785" s="221" t="s">
        <v>1389</v>
      </c>
      <c r="D785" s="221" t="s">
        <v>1376</v>
      </c>
      <c r="E785" s="222">
        <v>39.1</v>
      </c>
      <c r="F785" s="223">
        <v>1.31</v>
      </c>
      <c r="G785" s="220" t="s">
        <v>1369</v>
      </c>
      <c r="H785" s="221" t="s">
        <v>1370</v>
      </c>
    </row>
    <row customHeight="true" ht="16.071428571428573" r="786">
      <c r="A786" s="220">
        <v>750</v>
      </c>
      <c r="B786" s="221" t="s">
        <v>1353</v>
      </c>
      <c r="C786" s="221" t="s">
        <v>1389</v>
      </c>
      <c r="D786" s="221" t="s">
        <v>1368</v>
      </c>
      <c r="E786" s="222">
        <v>38.3</v>
      </c>
      <c r="F786" s="223">
        <v>1.61</v>
      </c>
      <c r="G786" s="220" t="s">
        <v>1369</v>
      </c>
      <c r="H786" s="221" t="s">
        <v>1370</v>
      </c>
    </row>
    <row customHeight="true" ht="16.071428571428573" r="787">
      <c r="A787" s="220">
        <v>751</v>
      </c>
      <c r="B787" s="221" t="s">
        <v>1374</v>
      </c>
      <c r="C787" s="221" t="s">
        <v>1367</v>
      </c>
      <c r="D787" s="221" t="s">
        <v>1376</v>
      </c>
      <c r="E787" s="222">
        <v>44.5</v>
      </c>
      <c r="F787" s="223">
        <v>0.98</v>
      </c>
      <c r="G787" s="220" t="s">
        <v>1369</v>
      </c>
      <c r="H787" s="221" t="s">
        <v>1370</v>
      </c>
    </row>
    <row customHeight="true" ht="16.071428571428573" r="788">
      <c r="A788" s="220">
        <v>752</v>
      </c>
      <c r="B788" s="221" t="s">
        <v>1371</v>
      </c>
      <c r="C788" s="221" t="s">
        <v>1384</v>
      </c>
      <c r="D788" s="221" t="s">
        <v>1373</v>
      </c>
      <c r="E788" s="222">
        <v>38.8</v>
      </c>
      <c r="F788" s="223">
        <v>1.19</v>
      </c>
      <c r="G788" s="220" t="s">
        <v>1369</v>
      </c>
      <c r="H788" s="221" t="s">
        <v>1370</v>
      </c>
    </row>
    <row customHeight="true" ht="16.071428571428573" r="789">
      <c r="A789" s="220">
        <v>753</v>
      </c>
      <c r="B789" s="221" t="s">
        <v>1374</v>
      </c>
      <c r="C789" s="221" t="s">
        <v>1386</v>
      </c>
      <c r="D789" s="221" t="s">
        <v>1376</v>
      </c>
      <c r="E789" s="222">
        <v>43.6</v>
      </c>
      <c r="F789" s="223">
        <v>1.08</v>
      </c>
      <c r="G789" s="220" t="s">
        <v>1369</v>
      </c>
      <c r="H789" s="221" t="s">
        <v>1370</v>
      </c>
    </row>
    <row customHeight="true" ht="16.071428571428573" r="790">
      <c r="A790" s="220">
        <v>754</v>
      </c>
      <c r="B790" s="221" t="s">
        <v>1374</v>
      </c>
      <c r="C790" s="221" t="s">
        <v>1380</v>
      </c>
      <c r="D790" s="221" t="s">
        <v>1376</v>
      </c>
      <c r="E790" s="222">
        <v>44.5</v>
      </c>
      <c r="F790" s="223">
        <v>0.51</v>
      </c>
      <c r="G790" s="220" t="s">
        <v>1369</v>
      </c>
      <c r="H790" s="221" t="s">
        <v>1370</v>
      </c>
    </row>
    <row customHeight="true" ht="16.071428571428573" r="791">
      <c r="A791" s="220">
        <v>755</v>
      </c>
      <c r="B791" s="221" t="s">
        <v>1374</v>
      </c>
      <c r="C791" s="221" t="s">
        <v>1385</v>
      </c>
      <c r="D791" s="221" t="s">
        <v>1376</v>
      </c>
      <c r="E791" s="222">
        <v>42.1</v>
      </c>
      <c r="F791" s="223">
        <v>1.83</v>
      </c>
      <c r="G791" s="220" t="s">
        <v>1369</v>
      </c>
      <c r="H791" s="221" t="s">
        <v>1370</v>
      </c>
    </row>
    <row customHeight="true" ht="16.071428571428573" r="792">
      <c r="A792" s="220">
        <v>756</v>
      </c>
      <c r="B792" s="221" t="s">
        <v>1351</v>
      </c>
      <c r="C792" s="221" t="s">
        <v>1383</v>
      </c>
      <c r="D792" s="221" t="s">
        <v>1378</v>
      </c>
      <c r="E792" s="222">
        <v>43.5</v>
      </c>
      <c r="F792" s="223">
        <v>1.92</v>
      </c>
      <c r="G792" s="220" t="s">
        <v>1369</v>
      </c>
      <c r="H792" s="221" t="s">
        <v>1370</v>
      </c>
    </row>
    <row customHeight="true" ht="16.071428571428573" r="793">
      <c r="A793" s="220">
        <v>757</v>
      </c>
      <c r="B793" s="221" t="s">
        <v>1351</v>
      </c>
      <c r="C793" s="221" t="s">
        <v>1377</v>
      </c>
      <c r="D793" s="221" t="s">
        <v>1378</v>
      </c>
      <c r="E793" s="222">
        <v>38.7</v>
      </c>
      <c r="F793" s="223">
        <v>1.31</v>
      </c>
      <c r="G793" s="220" t="s">
        <v>1369</v>
      </c>
      <c r="H793" s="221" t="s">
        <v>1370</v>
      </c>
    </row>
    <row customHeight="true" ht="16.071428571428573" r="794">
      <c r="A794" s="220">
        <v>758</v>
      </c>
      <c r="B794" s="221" t="s">
        <v>1353</v>
      </c>
      <c r="C794" s="221" t="s">
        <v>1385</v>
      </c>
      <c r="D794" s="221" t="s">
        <v>1368</v>
      </c>
      <c r="E794" s="222">
        <v>41.6</v>
      </c>
      <c r="F794" s="223">
        <v>0.74</v>
      </c>
      <c r="G794" s="220" t="s">
        <v>1369</v>
      </c>
      <c r="H794" s="221" t="s">
        <v>1370</v>
      </c>
    </row>
    <row customHeight="true" ht="16.071428571428573" r="795">
      <c r="A795" s="220">
        <v>759</v>
      </c>
      <c r="B795" s="221" t="s">
        <v>1374</v>
      </c>
      <c r="C795" s="221" t="s">
        <v>1379</v>
      </c>
      <c r="D795" s="221" t="s">
        <v>1376</v>
      </c>
      <c r="E795" s="222">
        <v>38.6</v>
      </c>
      <c r="F795" s="223">
        <v>1.31</v>
      </c>
      <c r="G795" s="220" t="s">
        <v>1369</v>
      </c>
      <c r="H795" s="221" t="s">
        <v>1370</v>
      </c>
    </row>
    <row customHeight="true" ht="16.071428571428573" r="796">
      <c r="A796" s="220">
        <v>760</v>
      </c>
      <c r="B796" s="221" t="s">
        <v>1351</v>
      </c>
      <c r="C796" s="221" t="s">
        <v>1384</v>
      </c>
      <c r="D796" s="221" t="s">
        <v>1378</v>
      </c>
      <c r="E796" s="222">
        <v>44.1</v>
      </c>
      <c r="F796" s="223">
        <v>1.12</v>
      </c>
      <c r="G796" s="220" t="s">
        <v>1369</v>
      </c>
      <c r="H796" s="221" t="s">
        <v>1370</v>
      </c>
    </row>
    <row customHeight="true" ht="16.071428571428573" r="797">
      <c r="A797" s="220">
        <v>761</v>
      </c>
      <c r="B797" s="221" t="s">
        <v>1374</v>
      </c>
      <c r="C797" s="221" t="s">
        <v>1372</v>
      </c>
      <c r="D797" s="221" t="s">
        <v>1376</v>
      </c>
      <c r="E797" s="222">
        <v>41.8</v>
      </c>
      <c r="F797" s="223">
        <v>1.35</v>
      </c>
      <c r="G797" s="220" t="s">
        <v>1369</v>
      </c>
      <c r="H797" s="221" t="s">
        <v>1370</v>
      </c>
    </row>
    <row customHeight="true" ht="16.071428571428573" r="798">
      <c r="A798" s="220">
        <v>762</v>
      </c>
      <c r="B798" s="221" t="s">
        <v>1351</v>
      </c>
      <c r="C798" s="221" t="s">
        <v>1386</v>
      </c>
      <c r="D798" s="221" t="s">
        <v>1378</v>
      </c>
      <c r="E798" s="222">
        <v>38.4</v>
      </c>
      <c r="F798" s="223">
        <v>1.72</v>
      </c>
      <c r="G798" s="220" t="s">
        <v>1369</v>
      </c>
      <c r="H798" s="221" t="s">
        <v>1370</v>
      </c>
    </row>
    <row customHeight="true" ht="16.071428571428573" r="799">
      <c r="A799" s="220">
        <v>763</v>
      </c>
      <c r="B799" s="221" t="s">
        <v>1374</v>
      </c>
      <c r="C799" s="221" t="s">
        <v>1380</v>
      </c>
      <c r="D799" s="221" t="s">
        <v>1376</v>
      </c>
      <c r="E799" s="222">
        <v>41.8</v>
      </c>
      <c r="F799" s="223">
        <v>1.04</v>
      </c>
      <c r="G799" s="220" t="s">
        <v>1369</v>
      </c>
      <c r="H799" s="221" t="s">
        <v>1370</v>
      </c>
    </row>
    <row customHeight="true" ht="16.071428571428573" r="800">
      <c r="A800" s="220">
        <v>764</v>
      </c>
      <c r="B800" s="221" t="s">
        <v>1374</v>
      </c>
      <c r="C800" s="221" t="s">
        <v>1379</v>
      </c>
      <c r="D800" s="221" t="s">
        <v>1376</v>
      </c>
      <c r="E800" s="222">
        <v>43.1</v>
      </c>
      <c r="F800" s="223">
        <v>1.85</v>
      </c>
      <c r="G800" s="220" t="s">
        <v>1369</v>
      </c>
      <c r="H800" s="221" t="s">
        <v>1370</v>
      </c>
    </row>
    <row customHeight="true" ht="16.071428571428573" r="801">
      <c r="A801" s="220">
        <v>765</v>
      </c>
      <c r="B801" s="221" t="s">
        <v>1351</v>
      </c>
      <c r="C801" s="221" t="s">
        <v>1372</v>
      </c>
      <c r="D801" s="221" t="s">
        <v>1378</v>
      </c>
      <c r="E801" s="222">
        <v>39.5</v>
      </c>
      <c r="F801" s="223">
        <v>0.95</v>
      </c>
      <c r="G801" s="220" t="s">
        <v>1369</v>
      </c>
      <c r="H801" s="221" t="s">
        <v>1370</v>
      </c>
    </row>
    <row customHeight="true" ht="16.071428571428573" r="802">
      <c r="A802" s="220">
        <v>766</v>
      </c>
      <c r="B802" s="221" t="s">
        <v>1353</v>
      </c>
      <c r="C802" s="221" t="s">
        <v>1383</v>
      </c>
      <c r="D802" s="221" t="s">
        <v>1368</v>
      </c>
      <c r="E802" s="222">
        <v>42.7</v>
      </c>
      <c r="F802" s="223">
        <v>1.83</v>
      </c>
      <c r="G802" s="220" t="s">
        <v>1369</v>
      </c>
      <c r="H802" s="221" t="s">
        <v>1370</v>
      </c>
    </row>
    <row customHeight="true" ht="16.071428571428573" r="803">
      <c r="A803" s="220">
        <v>767</v>
      </c>
      <c r="B803" s="221" t="s">
        <v>1353</v>
      </c>
      <c r="C803" s="221" t="s">
        <v>1385</v>
      </c>
      <c r="D803" s="221" t="s">
        <v>1368</v>
      </c>
      <c r="E803" s="222">
        <v>42.2</v>
      </c>
      <c r="F803" s="223">
        <v>1.99</v>
      </c>
      <c r="G803" s="220" t="s">
        <v>1369</v>
      </c>
      <c r="H803" s="221" t="s">
        <v>1370</v>
      </c>
    </row>
    <row customHeight="true" ht="16.071428571428573" r="804">
      <c r="A804" s="220">
        <v>768</v>
      </c>
      <c r="B804" s="221" t="s">
        <v>1374</v>
      </c>
      <c r="C804" s="221" t="s">
        <v>1377</v>
      </c>
      <c r="D804" s="221" t="s">
        <v>1376</v>
      </c>
      <c r="E804" s="222">
        <v>40</v>
      </c>
      <c r="F804" s="223">
        <v>0.61</v>
      </c>
      <c r="G804" s="220" t="s">
        <v>1369</v>
      </c>
      <c r="H804" s="221" t="s">
        <v>1370</v>
      </c>
    </row>
    <row customHeight="true" ht="16.071428571428573" r="805">
      <c r="A805" s="220">
        <v>769</v>
      </c>
      <c r="B805" s="221" t="s">
        <v>1351</v>
      </c>
      <c r="C805" s="221" t="s">
        <v>1380</v>
      </c>
      <c r="D805" s="221" t="s">
        <v>1378</v>
      </c>
      <c r="E805" s="222">
        <v>42.6</v>
      </c>
      <c r="F805" s="223">
        <v>1.94</v>
      </c>
      <c r="G805" s="220" t="s">
        <v>1369</v>
      </c>
      <c r="H805" s="221" t="s">
        <v>1370</v>
      </c>
    </row>
    <row customHeight="true" ht="16.071428571428573" r="806">
      <c r="A806" s="220">
        <v>770</v>
      </c>
      <c r="B806" s="221" t="s">
        <v>1371</v>
      </c>
      <c r="C806" s="221" t="s">
        <v>1367</v>
      </c>
      <c r="D806" s="221" t="s">
        <v>1373</v>
      </c>
      <c r="E806" s="222">
        <v>45.8</v>
      </c>
      <c r="F806" s="223">
        <v>0.65</v>
      </c>
      <c r="G806" s="220" t="s">
        <v>1369</v>
      </c>
      <c r="H806" s="221" t="s">
        <v>1370</v>
      </c>
    </row>
    <row customHeight="true" ht="16.071428571428573" r="807">
      <c r="A807" s="220">
        <v>771</v>
      </c>
      <c r="B807" s="221" t="s">
        <v>1351</v>
      </c>
      <c r="C807" s="221" t="s">
        <v>1377</v>
      </c>
      <c r="D807" s="221" t="s">
        <v>1378</v>
      </c>
      <c r="E807" s="222">
        <v>39.2</v>
      </c>
      <c r="F807" s="223">
        <v>0.93</v>
      </c>
      <c r="G807" s="220" t="s">
        <v>1369</v>
      </c>
      <c r="H807" s="221" t="s">
        <v>1370</v>
      </c>
    </row>
    <row customHeight="true" ht="16.071428571428573" r="808">
      <c r="A808" s="220">
        <v>772</v>
      </c>
      <c r="B808" s="221" t="s">
        <v>1351</v>
      </c>
      <c r="C808" s="221" t="s">
        <v>1372</v>
      </c>
      <c r="D808" s="221" t="s">
        <v>1378</v>
      </c>
      <c r="E808" s="222">
        <v>40.3</v>
      </c>
      <c r="F808" s="223">
        <v>0.98</v>
      </c>
      <c r="G808" s="220" t="s">
        <v>1369</v>
      </c>
      <c r="H808" s="221" t="s">
        <v>1370</v>
      </c>
    </row>
    <row customHeight="true" ht="16.071428571428573" r="809">
      <c r="A809" s="220">
        <v>773</v>
      </c>
      <c r="B809" s="221" t="s">
        <v>1374</v>
      </c>
      <c r="C809" s="221" t="s">
        <v>1386</v>
      </c>
      <c r="D809" s="221" t="s">
        <v>1376</v>
      </c>
      <c r="E809" s="222">
        <v>42</v>
      </c>
      <c r="F809" s="223">
        <v>1.67</v>
      </c>
      <c r="G809" s="220" t="s">
        <v>1369</v>
      </c>
      <c r="H809" s="221" t="s">
        <v>1370</v>
      </c>
    </row>
    <row customHeight="true" ht="16.071428571428573" r="810">
      <c r="A810" s="220">
        <v>774</v>
      </c>
      <c r="B810" s="221" t="s">
        <v>1353</v>
      </c>
      <c r="C810" s="221" t="s">
        <v>1379</v>
      </c>
      <c r="D810" s="221" t="s">
        <v>1368</v>
      </c>
      <c r="E810" s="222">
        <v>44.8</v>
      </c>
      <c r="F810" s="223">
        <v>1.56</v>
      </c>
      <c r="G810" s="220" t="s">
        <v>1369</v>
      </c>
      <c r="H810" s="221" t="s">
        <v>1370</v>
      </c>
    </row>
    <row customHeight="true" ht="16.071428571428573" r="811">
      <c r="A811" s="220">
        <v>775</v>
      </c>
      <c r="B811" s="221" t="s">
        <v>1351</v>
      </c>
      <c r="C811" s="221" t="s">
        <v>1385</v>
      </c>
      <c r="D811" s="221" t="s">
        <v>1378</v>
      </c>
      <c r="E811" s="222">
        <v>36.6</v>
      </c>
      <c r="F811" s="223">
        <v>0.68</v>
      </c>
      <c r="G811" s="220" t="s">
        <v>1369</v>
      </c>
      <c r="H811" s="221" t="s">
        <v>1370</v>
      </c>
    </row>
    <row customHeight="true" ht="16.071428571428573" r="812">
      <c r="A812" s="220">
        <v>776</v>
      </c>
      <c r="B812" s="221" t="s">
        <v>1353</v>
      </c>
      <c r="C812" s="221" t="s">
        <v>1383</v>
      </c>
      <c r="D812" s="221" t="s">
        <v>1368</v>
      </c>
      <c r="E812" s="222">
        <v>38.8</v>
      </c>
      <c r="F812" s="223">
        <v>1.32</v>
      </c>
      <c r="G812" s="220" t="s">
        <v>1369</v>
      </c>
      <c r="H812" s="221" t="s">
        <v>1370</v>
      </c>
    </row>
    <row customHeight="true" ht="16.071428571428573" r="813">
      <c r="A813" s="220">
        <v>777</v>
      </c>
      <c r="B813" s="221" t="s">
        <v>1351</v>
      </c>
      <c r="C813" s="221" t="s">
        <v>1367</v>
      </c>
      <c r="D813" s="221" t="s">
        <v>1378</v>
      </c>
      <c r="E813" s="222">
        <v>38.3</v>
      </c>
      <c r="F813" s="223">
        <v>0.99</v>
      </c>
      <c r="G813" s="220" t="s">
        <v>1369</v>
      </c>
      <c r="H813" s="221" t="s">
        <v>1370</v>
      </c>
    </row>
    <row customHeight="true" ht="16.071428571428573" r="814">
      <c r="A814" s="220">
        <v>778</v>
      </c>
      <c r="B814" s="221" t="s">
        <v>1351</v>
      </c>
      <c r="C814" s="221" t="s">
        <v>1367</v>
      </c>
      <c r="D814" s="221" t="s">
        <v>1378</v>
      </c>
      <c r="E814" s="222">
        <v>44</v>
      </c>
      <c r="F814" s="223">
        <v>0.69</v>
      </c>
      <c r="G814" s="220" t="s">
        <v>1369</v>
      </c>
      <c r="H814" s="221" t="s">
        <v>1370</v>
      </c>
    </row>
    <row customHeight="true" ht="16.071428571428573" r="815">
      <c r="A815" s="220">
        <v>779</v>
      </c>
      <c r="B815" s="221" t="s">
        <v>1353</v>
      </c>
      <c r="C815" s="221" t="s">
        <v>1367</v>
      </c>
      <c r="D815" s="221" t="s">
        <v>1368</v>
      </c>
      <c r="E815" s="222">
        <v>37.3</v>
      </c>
      <c r="F815" s="223">
        <v>1.7</v>
      </c>
      <c r="G815" s="220" t="s">
        <v>1369</v>
      </c>
      <c r="H815" s="221" t="s">
        <v>1370</v>
      </c>
    </row>
    <row customHeight="true" ht="16.071428571428573" r="816">
      <c r="A816" s="220">
        <v>780</v>
      </c>
      <c r="B816" s="221" t="s">
        <v>1351</v>
      </c>
      <c r="C816" s="221" t="s">
        <v>1383</v>
      </c>
      <c r="D816" s="221" t="s">
        <v>1378</v>
      </c>
      <c r="E816" s="222">
        <v>36.3</v>
      </c>
      <c r="F816" s="223">
        <v>1.22</v>
      </c>
      <c r="G816" s="220" t="s">
        <v>1369</v>
      </c>
      <c r="H816" s="221" t="s">
        <v>1370</v>
      </c>
    </row>
    <row customHeight="true" ht="16.071428571428573" r="817">
      <c r="A817" s="220">
        <v>781</v>
      </c>
      <c r="B817" s="221" t="s">
        <v>1353</v>
      </c>
      <c r="C817" s="221" t="s">
        <v>1380</v>
      </c>
      <c r="D817" s="221" t="s">
        <v>1368</v>
      </c>
      <c r="E817" s="222">
        <v>42.8</v>
      </c>
      <c r="F817" s="223">
        <v>0.63</v>
      </c>
      <c r="G817" s="220" t="s">
        <v>1369</v>
      </c>
      <c r="H817" s="221" t="s">
        <v>1370</v>
      </c>
    </row>
    <row customHeight="true" ht="16.071428571428573" r="818">
      <c r="A818" s="220">
        <v>782</v>
      </c>
      <c r="B818" s="221" t="s">
        <v>1351</v>
      </c>
      <c r="C818" s="221" t="s">
        <v>1377</v>
      </c>
      <c r="D818" s="221" t="s">
        <v>1378</v>
      </c>
      <c r="E818" s="222">
        <v>37.9</v>
      </c>
      <c r="F818" s="223">
        <v>2.07</v>
      </c>
      <c r="G818" s="220" t="s">
        <v>1369</v>
      </c>
      <c r="H818" s="221" t="s">
        <v>1370</v>
      </c>
    </row>
    <row customHeight="true" ht="16.071428571428573" r="819">
      <c r="A819" s="220">
        <v>783</v>
      </c>
      <c r="B819" s="221" t="s">
        <v>1353</v>
      </c>
      <c r="C819" s="221" t="s">
        <v>1388</v>
      </c>
      <c r="D819" s="221" t="s">
        <v>1368</v>
      </c>
      <c r="E819" s="222">
        <v>36.3</v>
      </c>
      <c r="F819" s="223">
        <v>1.94</v>
      </c>
      <c r="G819" s="220" t="s">
        <v>1369</v>
      </c>
      <c r="H819" s="221" t="s">
        <v>1370</v>
      </c>
    </row>
    <row customHeight="true" ht="16.071428571428573" r="820">
      <c r="A820" s="220">
        <v>784</v>
      </c>
      <c r="B820" s="221" t="s">
        <v>1351</v>
      </c>
      <c r="C820" s="221" t="s">
        <v>1380</v>
      </c>
      <c r="D820" s="221" t="s">
        <v>1378</v>
      </c>
      <c r="E820" s="222">
        <v>36.3</v>
      </c>
      <c r="F820" s="223">
        <v>1.01</v>
      </c>
      <c r="G820" s="220" t="s">
        <v>1369</v>
      </c>
      <c r="H820" s="221" t="s">
        <v>1370</v>
      </c>
    </row>
    <row customHeight="true" ht="16.071428571428573" r="821">
      <c r="A821" s="220">
        <v>785</v>
      </c>
      <c r="B821" s="221" t="s">
        <v>1374</v>
      </c>
      <c r="C821" s="221" t="s">
        <v>1385</v>
      </c>
      <c r="D821" s="221" t="s">
        <v>1376</v>
      </c>
      <c r="E821" s="222">
        <v>43.1</v>
      </c>
      <c r="F821" s="223">
        <v>1.21</v>
      </c>
      <c r="G821" s="220" t="s">
        <v>1369</v>
      </c>
      <c r="H821" s="221" t="s">
        <v>1370</v>
      </c>
    </row>
    <row customHeight="true" ht="16.071428571428573" r="822">
      <c r="A822" s="220">
        <v>786</v>
      </c>
      <c r="B822" s="221" t="s">
        <v>1374</v>
      </c>
      <c r="C822" s="221" t="s">
        <v>1385</v>
      </c>
      <c r="D822" s="221" t="s">
        <v>1376</v>
      </c>
      <c r="E822" s="222">
        <v>50.7</v>
      </c>
      <c r="F822" s="223">
        <v>2.84</v>
      </c>
      <c r="G822" s="220" t="s">
        <v>1381</v>
      </c>
      <c r="H822" s="221" t="s">
        <v>1382</v>
      </c>
    </row>
    <row customHeight="true" ht="16.071428571428573" r="823">
      <c r="A823" s="220">
        <v>787</v>
      </c>
      <c r="B823" s="221" t="s">
        <v>1351</v>
      </c>
      <c r="C823" s="221" t="s">
        <v>1389</v>
      </c>
      <c r="D823" s="221" t="s">
        <v>1378</v>
      </c>
      <c r="E823" s="222">
        <v>39.8</v>
      </c>
      <c r="F823" s="223">
        <v>1.68</v>
      </c>
      <c r="G823" s="220" t="s">
        <v>1369</v>
      </c>
      <c r="H823" s="221" t="s">
        <v>1370</v>
      </c>
    </row>
    <row customHeight="true" ht="16.071428571428573" r="824">
      <c r="A824" s="220">
        <v>788</v>
      </c>
      <c r="B824" s="221" t="s">
        <v>1374</v>
      </c>
      <c r="C824" s="221" t="s">
        <v>1389</v>
      </c>
      <c r="D824" s="221" t="s">
        <v>1376</v>
      </c>
      <c r="E824" s="222">
        <v>43</v>
      </c>
      <c r="F824" s="223">
        <v>1.84</v>
      </c>
      <c r="G824" s="220" t="s">
        <v>1369</v>
      </c>
      <c r="H824" s="221" t="s">
        <v>1370</v>
      </c>
    </row>
    <row customHeight="true" ht="16.071428571428573" r="825">
      <c r="A825" s="220">
        <v>789</v>
      </c>
      <c r="B825" s="221" t="s">
        <v>1351</v>
      </c>
      <c r="C825" s="221" t="s">
        <v>1377</v>
      </c>
      <c r="D825" s="221" t="s">
        <v>1378</v>
      </c>
      <c r="E825" s="222">
        <v>37.1</v>
      </c>
      <c r="F825" s="223">
        <v>1.31</v>
      </c>
      <c r="G825" s="220" t="s">
        <v>1369</v>
      </c>
      <c r="H825" s="221" t="s">
        <v>1370</v>
      </c>
    </row>
    <row customHeight="true" ht="16.071428571428573" r="826">
      <c r="A826" s="220">
        <v>790</v>
      </c>
      <c r="B826" s="221" t="s">
        <v>1351</v>
      </c>
      <c r="C826" s="221" t="s">
        <v>1375</v>
      </c>
      <c r="D826" s="221" t="s">
        <v>1378</v>
      </c>
      <c r="E826" s="222">
        <v>40.6</v>
      </c>
      <c r="F826" s="223">
        <v>0.74</v>
      </c>
      <c r="G826" s="220" t="s">
        <v>1369</v>
      </c>
      <c r="H826" s="221" t="s">
        <v>1370</v>
      </c>
    </row>
    <row customHeight="true" ht="16.071428571428573" r="827">
      <c r="A827" s="220">
        <v>791</v>
      </c>
      <c r="B827" s="221" t="s">
        <v>1371</v>
      </c>
      <c r="C827" s="221" t="s">
        <v>1383</v>
      </c>
      <c r="D827" s="221" t="s">
        <v>1373</v>
      </c>
      <c r="E827" s="222">
        <v>36.4</v>
      </c>
      <c r="F827" s="223">
        <v>1.17</v>
      </c>
      <c r="G827" s="220" t="s">
        <v>1369</v>
      </c>
      <c r="H827" s="221" t="s">
        <v>1370</v>
      </c>
    </row>
    <row customHeight="true" ht="16.071428571428573" r="828">
      <c r="A828" s="220">
        <v>792</v>
      </c>
      <c r="B828" s="221" t="s">
        <v>1353</v>
      </c>
      <c r="C828" s="221" t="s">
        <v>1383</v>
      </c>
      <c r="D828" s="221" t="s">
        <v>1368</v>
      </c>
      <c r="E828" s="222">
        <v>41.2</v>
      </c>
      <c r="F828" s="223">
        <v>0.89</v>
      </c>
      <c r="G828" s="220" t="s">
        <v>1369</v>
      </c>
      <c r="H828" s="221" t="s">
        <v>1370</v>
      </c>
    </row>
    <row customHeight="true" ht="16.071428571428573" r="829">
      <c r="A829" s="220">
        <v>793</v>
      </c>
      <c r="B829" s="221" t="s">
        <v>1351</v>
      </c>
      <c r="C829" s="221" t="s">
        <v>1379</v>
      </c>
      <c r="D829" s="221" t="s">
        <v>1378</v>
      </c>
      <c r="E829" s="222">
        <v>45.6</v>
      </c>
      <c r="F829" s="223">
        <v>1.66</v>
      </c>
      <c r="G829" s="220" t="s">
        <v>1369</v>
      </c>
      <c r="H829" s="221" t="s">
        <v>1370</v>
      </c>
    </row>
    <row customHeight="true" ht="16.071428571428573" r="830">
      <c r="A830" s="220">
        <v>794</v>
      </c>
      <c r="B830" s="221" t="s">
        <v>1374</v>
      </c>
      <c r="C830" s="221" t="s">
        <v>1375</v>
      </c>
      <c r="D830" s="221" t="s">
        <v>1376</v>
      </c>
      <c r="E830" s="222">
        <v>45.7</v>
      </c>
      <c r="F830" s="223">
        <v>1.17</v>
      </c>
      <c r="G830" s="220" t="s">
        <v>1369</v>
      </c>
      <c r="H830" s="221" t="s">
        <v>1370</v>
      </c>
    </row>
    <row customHeight="true" ht="16.071428571428573" r="831">
      <c r="A831" s="220">
        <v>795</v>
      </c>
      <c r="B831" s="221" t="s">
        <v>1374</v>
      </c>
      <c r="C831" s="221" t="s">
        <v>1386</v>
      </c>
      <c r="D831" s="221" t="s">
        <v>1376</v>
      </c>
      <c r="E831" s="222">
        <v>37.6</v>
      </c>
      <c r="F831" s="223">
        <v>1.14</v>
      </c>
      <c r="G831" s="220" t="s">
        <v>1369</v>
      </c>
      <c r="H831" s="221" t="s">
        <v>1370</v>
      </c>
    </row>
    <row customHeight="true" ht="16.071428571428573" r="832">
      <c r="A832" s="220">
        <v>796</v>
      </c>
      <c r="B832" s="221" t="s">
        <v>1374</v>
      </c>
      <c r="C832" s="221" t="s">
        <v>1367</v>
      </c>
      <c r="D832" s="221" t="s">
        <v>1376</v>
      </c>
      <c r="E832" s="222">
        <v>43.8</v>
      </c>
      <c r="F832" s="223">
        <v>1.93</v>
      </c>
      <c r="G832" s="220" t="s">
        <v>1369</v>
      </c>
      <c r="H832" s="221" t="s">
        <v>1370</v>
      </c>
    </row>
    <row customHeight="true" ht="16.071428571428573" r="833">
      <c r="A833" s="220">
        <v>797</v>
      </c>
      <c r="B833" s="221" t="s">
        <v>1353</v>
      </c>
      <c r="C833" s="221" t="s">
        <v>1372</v>
      </c>
      <c r="D833" s="221" t="s">
        <v>1368</v>
      </c>
      <c r="E833" s="222">
        <v>43.7</v>
      </c>
      <c r="F833" s="223">
        <v>1.94</v>
      </c>
      <c r="G833" s="220" t="s">
        <v>1369</v>
      </c>
      <c r="H833" s="221" t="s">
        <v>1370</v>
      </c>
    </row>
    <row customHeight="true" ht="16.071428571428573" r="834">
      <c r="A834" s="220">
        <v>798</v>
      </c>
      <c r="B834" s="221" t="s">
        <v>1351</v>
      </c>
      <c r="C834" s="221" t="s">
        <v>1388</v>
      </c>
      <c r="D834" s="221" t="s">
        <v>1378</v>
      </c>
      <c r="E834" s="222">
        <v>38.1</v>
      </c>
      <c r="F834" s="223">
        <v>1.9</v>
      </c>
      <c r="G834" s="220" t="s">
        <v>1369</v>
      </c>
      <c r="H834" s="221" t="s">
        <v>1370</v>
      </c>
    </row>
    <row customHeight="true" ht="16.071428571428573" r="835">
      <c r="A835" s="220">
        <v>799</v>
      </c>
      <c r="B835" s="221" t="s">
        <v>1374</v>
      </c>
      <c r="C835" s="221" t="s">
        <v>1383</v>
      </c>
      <c r="D835" s="221" t="s">
        <v>1376</v>
      </c>
      <c r="E835" s="222">
        <v>40.9</v>
      </c>
      <c r="F835" s="223">
        <v>0.91</v>
      </c>
      <c r="G835" s="220" t="s">
        <v>1369</v>
      </c>
      <c r="H835" s="221" t="s">
        <v>1370</v>
      </c>
    </row>
    <row customHeight="true" ht="16.071428571428573" r="836">
      <c r="A836" s="220">
        <v>800</v>
      </c>
      <c r="B836" s="221" t="s">
        <v>1371</v>
      </c>
      <c r="C836" s="221" t="s">
        <v>1385</v>
      </c>
      <c r="D836" s="221" t="s">
        <v>1373</v>
      </c>
      <c r="E836" s="222">
        <v>43.3</v>
      </c>
      <c r="F836" s="223">
        <v>0.54</v>
      </c>
      <c r="G836" s="220" t="s">
        <v>1369</v>
      </c>
      <c r="H836" s="221" t="s">
        <v>1370</v>
      </c>
    </row>
    <row customHeight="true" ht="16.071428571428573" r="837">
      <c r="A837" s="220">
        <v>801</v>
      </c>
      <c r="B837" s="221" t="s">
        <v>1351</v>
      </c>
      <c r="C837" s="221" t="s">
        <v>1380</v>
      </c>
      <c r="D837" s="221" t="s">
        <v>1378</v>
      </c>
      <c r="E837" s="222">
        <v>39</v>
      </c>
      <c r="F837" s="223">
        <v>1.78</v>
      </c>
      <c r="G837" s="220" t="s">
        <v>1369</v>
      </c>
      <c r="H837" s="221" t="s">
        <v>1370</v>
      </c>
    </row>
    <row customHeight="true" ht="16.071428571428573" r="838">
      <c r="A838" s="220">
        <v>802</v>
      </c>
      <c r="B838" s="221" t="s">
        <v>1374</v>
      </c>
      <c r="C838" s="221" t="s">
        <v>1388</v>
      </c>
      <c r="D838" s="221" t="s">
        <v>1376</v>
      </c>
      <c r="E838" s="222">
        <v>42.1</v>
      </c>
      <c r="F838" s="223">
        <v>1.1</v>
      </c>
      <c r="G838" s="220" t="s">
        <v>1369</v>
      </c>
      <c r="H838" s="221" t="s">
        <v>1370</v>
      </c>
    </row>
    <row customHeight="true" ht="16.071428571428573" r="839">
      <c r="A839" s="220">
        <v>803</v>
      </c>
      <c r="B839" s="221" t="s">
        <v>1351</v>
      </c>
      <c r="C839" s="221" t="s">
        <v>1384</v>
      </c>
      <c r="D839" s="221" t="s">
        <v>1378</v>
      </c>
      <c r="E839" s="222">
        <v>43</v>
      </c>
      <c r="F839" s="223">
        <v>2.09</v>
      </c>
      <c r="G839" s="220" t="s">
        <v>1369</v>
      </c>
      <c r="H839" s="221" t="s">
        <v>1370</v>
      </c>
    </row>
    <row customHeight="true" ht="16.071428571428573" r="840">
      <c r="A840" s="220">
        <v>804</v>
      </c>
      <c r="B840" s="221" t="s">
        <v>1374</v>
      </c>
      <c r="C840" s="221" t="s">
        <v>1386</v>
      </c>
      <c r="D840" s="221" t="s">
        <v>1376</v>
      </c>
      <c r="E840" s="222">
        <v>42.8</v>
      </c>
      <c r="F840" s="223">
        <v>1.93</v>
      </c>
      <c r="G840" s="220" t="s">
        <v>1369</v>
      </c>
      <c r="H840" s="221" t="s">
        <v>1370</v>
      </c>
    </row>
    <row customHeight="true" ht="16.071428571428573" r="841">
      <c r="A841" s="220">
        <v>805</v>
      </c>
      <c r="B841" s="221" t="s">
        <v>1351</v>
      </c>
      <c r="C841" s="221" t="s">
        <v>1383</v>
      </c>
      <c r="D841" s="221" t="s">
        <v>1378</v>
      </c>
      <c r="E841" s="222">
        <v>42.6</v>
      </c>
      <c r="F841" s="223">
        <v>1.82</v>
      </c>
      <c r="G841" s="220" t="s">
        <v>1369</v>
      </c>
      <c r="H841" s="221" t="s">
        <v>1370</v>
      </c>
    </row>
    <row customHeight="true" ht="16.071428571428573" r="842">
      <c r="A842" s="220">
        <v>806</v>
      </c>
      <c r="B842" s="221" t="s">
        <v>1374</v>
      </c>
      <c r="C842" s="221" t="s">
        <v>1383</v>
      </c>
      <c r="D842" s="221" t="s">
        <v>1376</v>
      </c>
      <c r="E842" s="222">
        <v>42.5</v>
      </c>
      <c r="F842" s="223">
        <v>1.65</v>
      </c>
      <c r="G842" s="220" t="s">
        <v>1369</v>
      </c>
      <c r="H842" s="221" t="s">
        <v>1370</v>
      </c>
    </row>
    <row customHeight="true" ht="16.071428571428573" r="843">
      <c r="A843" s="220">
        <v>807</v>
      </c>
      <c r="B843" s="221" t="s">
        <v>1374</v>
      </c>
      <c r="C843" s="221" t="s">
        <v>1383</v>
      </c>
      <c r="D843" s="221" t="s">
        <v>1376</v>
      </c>
      <c r="E843" s="222">
        <v>37</v>
      </c>
      <c r="F843" s="223">
        <v>0.91</v>
      </c>
      <c r="G843" s="220" t="s">
        <v>1369</v>
      </c>
      <c r="H843" s="221" t="s">
        <v>1370</v>
      </c>
    </row>
    <row customHeight="true" ht="16.071428571428573" r="844">
      <c r="A844" s="220">
        <v>808</v>
      </c>
      <c r="B844" s="221" t="s">
        <v>1374</v>
      </c>
      <c r="C844" s="221" t="s">
        <v>1383</v>
      </c>
      <c r="D844" s="221" t="s">
        <v>1376</v>
      </c>
      <c r="E844" s="222">
        <v>40.7</v>
      </c>
      <c r="F844" s="223">
        <v>1.24</v>
      </c>
      <c r="G844" s="220" t="s">
        <v>1369</v>
      </c>
      <c r="H844" s="221" t="s">
        <v>1370</v>
      </c>
    </row>
    <row customHeight="true" ht="16.071428571428573" r="845">
      <c r="A845" s="220">
        <v>809</v>
      </c>
      <c r="B845" s="221" t="s">
        <v>1351</v>
      </c>
      <c r="C845" s="221" t="s">
        <v>1386</v>
      </c>
      <c r="D845" s="221" t="s">
        <v>1378</v>
      </c>
      <c r="E845" s="222">
        <v>41.3</v>
      </c>
      <c r="F845" s="223">
        <v>1.45</v>
      </c>
      <c r="G845" s="220" t="s">
        <v>1369</v>
      </c>
      <c r="H845" s="221" t="s">
        <v>1370</v>
      </c>
    </row>
    <row customHeight="true" ht="16.071428571428573" r="846">
      <c r="A846" s="220">
        <v>810</v>
      </c>
      <c r="B846" s="221" t="s">
        <v>1374</v>
      </c>
      <c r="C846" s="221" t="s">
        <v>1380</v>
      </c>
      <c r="D846" s="221" t="s">
        <v>1376</v>
      </c>
      <c r="E846" s="222">
        <v>43.5</v>
      </c>
      <c r="F846" s="223">
        <v>0.67</v>
      </c>
      <c r="G846" s="220" t="s">
        <v>1369</v>
      </c>
      <c r="H846" s="221" t="s">
        <v>1370</v>
      </c>
    </row>
    <row customHeight="true" ht="16.071428571428573" r="847">
      <c r="A847" s="220">
        <v>811</v>
      </c>
      <c r="B847" s="221" t="s">
        <v>1353</v>
      </c>
      <c r="C847" s="221" t="s">
        <v>1389</v>
      </c>
      <c r="D847" s="221" t="s">
        <v>1368</v>
      </c>
      <c r="E847" s="222">
        <v>45</v>
      </c>
      <c r="F847" s="223">
        <v>0.66</v>
      </c>
      <c r="G847" s="220" t="s">
        <v>1369</v>
      </c>
      <c r="H847" s="221" t="s">
        <v>1370</v>
      </c>
    </row>
    <row customHeight="true" ht="16.071428571428573" r="848">
      <c r="A848" s="220">
        <v>812</v>
      </c>
      <c r="B848" s="221" t="s">
        <v>1374</v>
      </c>
      <c r="C848" s="221" t="s">
        <v>1383</v>
      </c>
      <c r="D848" s="221" t="s">
        <v>1376</v>
      </c>
      <c r="E848" s="222">
        <v>36.8</v>
      </c>
      <c r="F848" s="223">
        <v>1.63</v>
      </c>
      <c r="G848" s="220" t="s">
        <v>1369</v>
      </c>
      <c r="H848" s="221" t="s">
        <v>1370</v>
      </c>
    </row>
    <row customHeight="true" ht="16.071428571428573" r="849">
      <c r="A849" s="220">
        <v>813</v>
      </c>
      <c r="B849" s="221" t="s">
        <v>1351</v>
      </c>
      <c r="C849" s="221" t="s">
        <v>1388</v>
      </c>
      <c r="D849" s="221" t="s">
        <v>1378</v>
      </c>
      <c r="E849" s="222">
        <v>40.4</v>
      </c>
      <c r="F849" s="223">
        <v>1.91</v>
      </c>
      <c r="G849" s="220" t="s">
        <v>1369</v>
      </c>
      <c r="H849" s="221" t="s">
        <v>1370</v>
      </c>
    </row>
    <row customHeight="true" ht="16.071428571428573" r="850">
      <c r="A850" s="220">
        <v>814</v>
      </c>
      <c r="B850" s="221" t="s">
        <v>1374</v>
      </c>
      <c r="C850" s="221" t="s">
        <v>1379</v>
      </c>
      <c r="D850" s="221" t="s">
        <v>1376</v>
      </c>
      <c r="E850" s="222">
        <v>43</v>
      </c>
      <c r="F850" s="223">
        <v>1.34</v>
      </c>
      <c r="G850" s="220" t="s">
        <v>1369</v>
      </c>
      <c r="H850" s="221" t="s">
        <v>1370</v>
      </c>
    </row>
    <row customHeight="true" ht="16.071428571428573" r="851">
      <c r="A851" s="220">
        <v>815</v>
      </c>
      <c r="B851" s="221" t="s">
        <v>1353</v>
      </c>
      <c r="C851" s="221" t="s">
        <v>1367</v>
      </c>
      <c r="D851" s="221" t="s">
        <v>1368</v>
      </c>
      <c r="E851" s="222">
        <v>44.3</v>
      </c>
      <c r="F851" s="223">
        <v>1.26</v>
      </c>
      <c r="G851" s="220" t="s">
        <v>1369</v>
      </c>
      <c r="H851" s="221" t="s">
        <v>1370</v>
      </c>
    </row>
    <row customHeight="true" ht="16.071428571428573" r="852">
      <c r="A852" s="220">
        <v>816</v>
      </c>
      <c r="B852" s="221" t="s">
        <v>1371</v>
      </c>
      <c r="C852" s="221" t="s">
        <v>1372</v>
      </c>
      <c r="D852" s="221" t="s">
        <v>1373</v>
      </c>
      <c r="E852" s="222">
        <v>38.7</v>
      </c>
      <c r="F852" s="223">
        <v>0.57</v>
      </c>
      <c r="G852" s="220" t="s">
        <v>1369</v>
      </c>
      <c r="H852" s="221" t="s">
        <v>1370</v>
      </c>
    </row>
    <row customHeight="true" ht="16.071428571428573" r="853">
      <c r="A853" s="220">
        <v>817</v>
      </c>
      <c r="B853" s="221" t="s">
        <v>1374</v>
      </c>
      <c r="C853" s="221" t="s">
        <v>1386</v>
      </c>
      <c r="D853" s="221" t="s">
        <v>1376</v>
      </c>
      <c r="E853" s="222">
        <v>42.3</v>
      </c>
      <c r="F853" s="223">
        <v>1.7</v>
      </c>
      <c r="G853" s="220" t="s">
        <v>1369</v>
      </c>
      <c r="H853" s="221" t="s">
        <v>1370</v>
      </c>
    </row>
    <row customHeight="true" ht="16.071428571428573" r="854">
      <c r="A854" s="220">
        <v>818</v>
      </c>
      <c r="B854" s="221" t="s">
        <v>1351</v>
      </c>
      <c r="C854" s="221" t="s">
        <v>1367</v>
      </c>
      <c r="D854" s="221" t="s">
        <v>1378</v>
      </c>
      <c r="E854" s="222">
        <v>41.8</v>
      </c>
      <c r="F854" s="223">
        <v>1.66</v>
      </c>
      <c r="G854" s="220" t="s">
        <v>1369</v>
      </c>
      <c r="H854" s="221" t="s">
        <v>1370</v>
      </c>
    </row>
    <row customHeight="true" ht="16.071428571428573" r="855">
      <c r="A855" s="220">
        <v>819</v>
      </c>
      <c r="B855" s="221" t="s">
        <v>1353</v>
      </c>
      <c r="C855" s="221" t="s">
        <v>1386</v>
      </c>
      <c r="D855" s="221" t="s">
        <v>1368</v>
      </c>
      <c r="E855" s="222">
        <v>55.6</v>
      </c>
      <c r="F855" s="223">
        <v>3.75</v>
      </c>
      <c r="G855" s="220" t="s">
        <v>1381</v>
      </c>
      <c r="H855" s="221" t="s">
        <v>1387</v>
      </c>
    </row>
    <row customHeight="true" ht="16.071428571428573" r="856">
      <c r="A856" s="220">
        <v>820</v>
      </c>
      <c r="B856" s="221" t="s">
        <v>1374</v>
      </c>
      <c r="C856" s="221" t="s">
        <v>1386</v>
      </c>
      <c r="D856" s="221" t="s">
        <v>1376</v>
      </c>
      <c r="E856" s="222">
        <v>44.1</v>
      </c>
      <c r="F856" s="223">
        <v>1.43</v>
      </c>
      <c r="G856" s="220" t="s">
        <v>1369</v>
      </c>
      <c r="H856" s="221" t="s">
        <v>1370</v>
      </c>
    </row>
    <row customHeight="true" ht="16.071428571428573" r="857">
      <c r="A857" s="220">
        <v>821</v>
      </c>
      <c r="B857" s="221" t="s">
        <v>1351</v>
      </c>
      <c r="C857" s="221" t="s">
        <v>1377</v>
      </c>
      <c r="D857" s="221" t="s">
        <v>1378</v>
      </c>
      <c r="E857" s="222">
        <v>41.1</v>
      </c>
      <c r="F857" s="223">
        <v>1.52</v>
      </c>
      <c r="G857" s="220" t="s">
        <v>1369</v>
      </c>
      <c r="H857" s="221" t="s">
        <v>1370</v>
      </c>
    </row>
    <row customHeight="true" ht="16.071428571428573" r="858">
      <c r="A858" s="220">
        <v>822</v>
      </c>
      <c r="B858" s="221" t="s">
        <v>1374</v>
      </c>
      <c r="C858" s="221" t="s">
        <v>1372</v>
      </c>
      <c r="D858" s="221" t="s">
        <v>1376</v>
      </c>
      <c r="E858" s="222">
        <v>43</v>
      </c>
      <c r="F858" s="223">
        <v>1.93</v>
      </c>
      <c r="G858" s="220" t="s">
        <v>1369</v>
      </c>
      <c r="H858" s="221" t="s">
        <v>1370</v>
      </c>
    </row>
    <row customHeight="true" ht="16.071428571428573" r="859">
      <c r="A859" s="220">
        <v>823</v>
      </c>
      <c r="B859" s="221" t="s">
        <v>1371</v>
      </c>
      <c r="C859" s="221" t="s">
        <v>1383</v>
      </c>
      <c r="D859" s="221" t="s">
        <v>1373</v>
      </c>
      <c r="E859" s="222">
        <v>45</v>
      </c>
      <c r="F859" s="223">
        <v>2.03</v>
      </c>
      <c r="G859" s="220" t="s">
        <v>1369</v>
      </c>
      <c r="H859" s="221" t="s">
        <v>1370</v>
      </c>
    </row>
    <row customHeight="true" ht="16.071428571428573" r="860">
      <c r="A860" s="220">
        <v>824</v>
      </c>
      <c r="B860" s="221" t="s">
        <v>1351</v>
      </c>
      <c r="C860" s="221" t="s">
        <v>1379</v>
      </c>
      <c r="D860" s="221" t="s">
        <v>1378</v>
      </c>
      <c r="E860" s="222">
        <v>44.2</v>
      </c>
      <c r="F860" s="223">
        <v>0.82</v>
      </c>
      <c r="G860" s="220" t="s">
        <v>1369</v>
      </c>
      <c r="H860" s="221" t="s">
        <v>1370</v>
      </c>
    </row>
    <row customHeight="true" ht="16.071428571428573" r="861">
      <c r="A861" s="220">
        <v>825</v>
      </c>
      <c r="B861" s="221" t="s">
        <v>1374</v>
      </c>
      <c r="C861" s="221" t="s">
        <v>1383</v>
      </c>
      <c r="D861" s="221" t="s">
        <v>1376</v>
      </c>
      <c r="E861" s="222">
        <v>40.3</v>
      </c>
      <c r="F861" s="223">
        <v>0.6</v>
      </c>
      <c r="G861" s="220" t="s">
        <v>1369</v>
      </c>
      <c r="H861" s="221" t="s">
        <v>1370</v>
      </c>
    </row>
    <row customHeight="true" ht="16.071428571428573" r="862">
      <c r="A862" s="220">
        <v>826</v>
      </c>
      <c r="B862" s="221" t="s">
        <v>1353</v>
      </c>
      <c r="C862" s="221" t="s">
        <v>1367</v>
      </c>
      <c r="D862" s="221" t="s">
        <v>1368</v>
      </c>
      <c r="E862" s="222">
        <v>40.7</v>
      </c>
      <c r="F862" s="223">
        <v>1.14</v>
      </c>
      <c r="G862" s="220" t="s">
        <v>1369</v>
      </c>
      <c r="H862" s="221" t="s">
        <v>1370</v>
      </c>
    </row>
    <row customHeight="true" ht="16.071428571428573" r="863">
      <c r="A863" s="220">
        <v>827</v>
      </c>
      <c r="B863" s="221" t="s">
        <v>1371</v>
      </c>
      <c r="C863" s="221" t="s">
        <v>1372</v>
      </c>
      <c r="D863" s="221" t="s">
        <v>1373</v>
      </c>
      <c r="E863" s="222">
        <v>40.2</v>
      </c>
      <c r="F863" s="223">
        <v>2.09</v>
      </c>
      <c r="G863" s="220" t="s">
        <v>1369</v>
      </c>
      <c r="H863" s="221" t="s">
        <v>1370</v>
      </c>
    </row>
    <row customHeight="true" ht="16.071428571428573" r="864">
      <c r="A864" s="220">
        <v>828</v>
      </c>
      <c r="B864" s="221" t="s">
        <v>1374</v>
      </c>
      <c r="C864" s="221" t="s">
        <v>1367</v>
      </c>
      <c r="D864" s="221" t="s">
        <v>1376</v>
      </c>
      <c r="E864" s="222">
        <v>37.8</v>
      </c>
      <c r="F864" s="223">
        <v>2.03</v>
      </c>
      <c r="G864" s="220" t="s">
        <v>1369</v>
      </c>
      <c r="H864" s="221" t="s">
        <v>1370</v>
      </c>
    </row>
    <row customHeight="true" ht="16.071428571428573" r="865">
      <c r="A865" s="220">
        <v>829</v>
      </c>
      <c r="B865" s="221" t="s">
        <v>1374</v>
      </c>
      <c r="C865" s="221" t="s">
        <v>1383</v>
      </c>
      <c r="D865" s="221" t="s">
        <v>1376</v>
      </c>
      <c r="E865" s="222">
        <v>37.1</v>
      </c>
      <c r="F865" s="223">
        <v>1.49</v>
      </c>
      <c r="G865" s="220" t="s">
        <v>1369</v>
      </c>
      <c r="H865" s="221" t="s">
        <v>1370</v>
      </c>
    </row>
    <row customHeight="true" ht="16.071428571428573" r="866">
      <c r="A866" s="220">
        <v>830</v>
      </c>
      <c r="B866" s="221" t="s">
        <v>1374</v>
      </c>
      <c r="C866" s="221" t="s">
        <v>1379</v>
      </c>
      <c r="D866" s="221" t="s">
        <v>1376</v>
      </c>
      <c r="E866" s="222">
        <v>42.8</v>
      </c>
      <c r="F866" s="223">
        <v>0.77</v>
      </c>
      <c r="G866" s="220" t="s">
        <v>1369</v>
      </c>
      <c r="H866" s="221" t="s">
        <v>1370</v>
      </c>
    </row>
    <row customHeight="true" ht="16.071428571428573" r="867">
      <c r="A867" s="220">
        <v>831</v>
      </c>
      <c r="B867" s="221" t="s">
        <v>1374</v>
      </c>
      <c r="C867" s="221" t="s">
        <v>1367</v>
      </c>
      <c r="D867" s="221" t="s">
        <v>1376</v>
      </c>
      <c r="E867" s="222">
        <v>41.8</v>
      </c>
      <c r="F867" s="223">
        <v>1.56</v>
      </c>
      <c r="G867" s="220" t="s">
        <v>1369</v>
      </c>
      <c r="H867" s="221" t="s">
        <v>1370</v>
      </c>
    </row>
    <row customHeight="true" ht="16.071428571428573" r="868">
      <c r="A868" s="220">
        <v>832</v>
      </c>
      <c r="B868" s="221" t="s">
        <v>1351</v>
      </c>
      <c r="C868" s="221" t="s">
        <v>1386</v>
      </c>
      <c r="D868" s="221" t="s">
        <v>1378</v>
      </c>
      <c r="E868" s="222">
        <v>43.2</v>
      </c>
      <c r="F868" s="223">
        <v>1.1</v>
      </c>
      <c r="G868" s="220" t="s">
        <v>1369</v>
      </c>
      <c r="H868" s="221" t="s">
        <v>1370</v>
      </c>
    </row>
    <row customHeight="true" ht="16.071428571428573" r="869">
      <c r="A869" s="220">
        <v>833</v>
      </c>
      <c r="B869" s="221" t="s">
        <v>1371</v>
      </c>
      <c r="C869" s="221" t="s">
        <v>1377</v>
      </c>
      <c r="D869" s="221" t="s">
        <v>1373</v>
      </c>
      <c r="E869" s="222">
        <v>57.2</v>
      </c>
      <c r="F869" s="223">
        <v>2.73</v>
      </c>
      <c r="G869" s="220" t="s">
        <v>1381</v>
      </c>
      <c r="H869" s="221" t="s">
        <v>1390</v>
      </c>
    </row>
    <row customHeight="true" ht="16.071428571428573" r="870">
      <c r="A870" s="220">
        <v>834</v>
      </c>
      <c r="B870" s="221" t="s">
        <v>1351</v>
      </c>
      <c r="C870" s="221" t="s">
        <v>1385</v>
      </c>
      <c r="D870" s="221" t="s">
        <v>1378</v>
      </c>
      <c r="E870" s="222">
        <v>43.5</v>
      </c>
      <c r="F870" s="223">
        <v>1.27</v>
      </c>
      <c r="G870" s="220" t="s">
        <v>1369</v>
      </c>
      <c r="H870" s="221" t="s">
        <v>1370</v>
      </c>
    </row>
    <row customHeight="true" ht="16.071428571428573" r="871">
      <c r="A871" s="220">
        <v>835</v>
      </c>
      <c r="B871" s="221" t="s">
        <v>1374</v>
      </c>
      <c r="C871" s="221" t="s">
        <v>1389</v>
      </c>
      <c r="D871" s="221" t="s">
        <v>1376</v>
      </c>
      <c r="E871" s="222">
        <v>39.9</v>
      </c>
      <c r="F871" s="223">
        <v>0.61</v>
      </c>
      <c r="G871" s="220" t="s">
        <v>1369</v>
      </c>
      <c r="H871" s="221" t="s">
        <v>1370</v>
      </c>
    </row>
    <row customHeight="true" ht="16.071428571428573" r="872">
      <c r="A872" s="220">
        <v>836</v>
      </c>
      <c r="B872" s="221" t="s">
        <v>1374</v>
      </c>
      <c r="C872" s="221" t="s">
        <v>1380</v>
      </c>
      <c r="D872" s="221" t="s">
        <v>1376</v>
      </c>
      <c r="E872" s="222">
        <v>36.2</v>
      </c>
      <c r="F872" s="223">
        <v>0.98</v>
      </c>
      <c r="G872" s="220" t="s">
        <v>1369</v>
      </c>
      <c r="H872" s="221" t="s">
        <v>1370</v>
      </c>
    </row>
    <row customHeight="true" ht="16.071428571428573" r="873">
      <c r="A873" s="220">
        <v>837</v>
      </c>
      <c r="B873" s="221" t="s">
        <v>1353</v>
      </c>
      <c r="C873" s="221" t="s">
        <v>1388</v>
      </c>
      <c r="D873" s="221" t="s">
        <v>1368</v>
      </c>
      <c r="E873" s="222">
        <v>38.3</v>
      </c>
      <c r="F873" s="223">
        <v>0.81</v>
      </c>
      <c r="G873" s="220" t="s">
        <v>1369</v>
      </c>
      <c r="H873" s="221" t="s">
        <v>1370</v>
      </c>
    </row>
    <row customHeight="true" ht="16.071428571428573" r="874">
      <c r="A874" s="220">
        <v>838</v>
      </c>
      <c r="B874" s="221" t="s">
        <v>1353</v>
      </c>
      <c r="C874" s="221" t="s">
        <v>1379</v>
      </c>
      <c r="D874" s="221" t="s">
        <v>1368</v>
      </c>
      <c r="E874" s="222">
        <v>37.5</v>
      </c>
      <c r="F874" s="223">
        <v>1.2</v>
      </c>
      <c r="G874" s="220" t="s">
        <v>1369</v>
      </c>
      <c r="H874" s="221" t="s">
        <v>1370</v>
      </c>
    </row>
    <row customHeight="true" ht="16.071428571428573" r="875">
      <c r="A875" s="220">
        <v>839</v>
      </c>
      <c r="B875" s="221" t="s">
        <v>1371</v>
      </c>
      <c r="C875" s="221" t="s">
        <v>1377</v>
      </c>
      <c r="D875" s="221" t="s">
        <v>1373</v>
      </c>
      <c r="E875" s="222">
        <v>38.4</v>
      </c>
      <c r="F875" s="223">
        <v>1.9</v>
      </c>
      <c r="G875" s="220" t="s">
        <v>1369</v>
      </c>
      <c r="H875" s="221" t="s">
        <v>1370</v>
      </c>
    </row>
    <row customHeight="true" ht="16.071428571428573" r="876">
      <c r="A876" s="220">
        <v>840</v>
      </c>
      <c r="B876" s="221" t="s">
        <v>1353</v>
      </c>
      <c r="C876" s="221" t="s">
        <v>1375</v>
      </c>
      <c r="D876" s="221" t="s">
        <v>1368</v>
      </c>
      <c r="E876" s="222">
        <v>37.1</v>
      </c>
      <c r="F876" s="223">
        <v>1.06</v>
      </c>
      <c r="G876" s="220" t="s">
        <v>1369</v>
      </c>
      <c r="H876" s="221" t="s">
        <v>1370</v>
      </c>
    </row>
    <row customHeight="true" ht="16.071428571428573" r="877">
      <c r="A877" s="220">
        <v>841</v>
      </c>
      <c r="B877" s="221" t="s">
        <v>1371</v>
      </c>
      <c r="C877" s="221" t="s">
        <v>1379</v>
      </c>
      <c r="D877" s="221" t="s">
        <v>1373</v>
      </c>
      <c r="E877" s="222">
        <v>44.8</v>
      </c>
      <c r="F877" s="223">
        <v>1.41</v>
      </c>
      <c r="G877" s="220" t="s">
        <v>1369</v>
      </c>
      <c r="H877" s="221" t="s">
        <v>1370</v>
      </c>
    </row>
    <row customHeight="true" ht="16.071428571428573" r="878">
      <c r="A878" s="220">
        <v>842</v>
      </c>
      <c r="B878" s="221" t="s">
        <v>1371</v>
      </c>
      <c r="C878" s="221" t="s">
        <v>1372</v>
      </c>
      <c r="D878" s="221" t="s">
        <v>1373</v>
      </c>
      <c r="E878" s="222">
        <v>40.9</v>
      </c>
      <c r="F878" s="223">
        <v>2.1</v>
      </c>
      <c r="G878" s="220" t="s">
        <v>1369</v>
      </c>
      <c r="H878" s="221" t="s">
        <v>1370</v>
      </c>
    </row>
    <row customHeight="true" ht="16.071428571428573" r="879">
      <c r="A879" s="220">
        <v>843</v>
      </c>
      <c r="B879" s="221" t="s">
        <v>1374</v>
      </c>
      <c r="C879" s="221" t="s">
        <v>1389</v>
      </c>
      <c r="D879" s="221" t="s">
        <v>1376</v>
      </c>
      <c r="E879" s="222">
        <v>40.5</v>
      </c>
      <c r="F879" s="223">
        <v>1.51</v>
      </c>
      <c r="G879" s="220" t="s">
        <v>1369</v>
      </c>
      <c r="H879" s="221" t="s">
        <v>1370</v>
      </c>
    </row>
    <row customHeight="true" ht="16.071428571428573" r="880">
      <c r="A880" s="220">
        <v>844</v>
      </c>
      <c r="B880" s="221" t="s">
        <v>1351</v>
      </c>
      <c r="C880" s="221" t="s">
        <v>1389</v>
      </c>
      <c r="D880" s="221" t="s">
        <v>1378</v>
      </c>
      <c r="E880" s="222">
        <v>45.2</v>
      </c>
      <c r="F880" s="223">
        <v>1.07</v>
      </c>
      <c r="G880" s="220" t="s">
        <v>1369</v>
      </c>
      <c r="H880" s="221" t="s">
        <v>1370</v>
      </c>
    </row>
    <row customHeight="true" ht="16.071428571428573" r="881">
      <c r="A881" s="220">
        <v>845</v>
      </c>
      <c r="B881" s="221" t="s">
        <v>1371</v>
      </c>
      <c r="C881" s="221" t="s">
        <v>1388</v>
      </c>
      <c r="D881" s="221" t="s">
        <v>1373</v>
      </c>
      <c r="E881" s="222">
        <v>41.8</v>
      </c>
      <c r="F881" s="223">
        <v>0.84</v>
      </c>
      <c r="G881" s="220" t="s">
        <v>1369</v>
      </c>
      <c r="H881" s="221" t="s">
        <v>1370</v>
      </c>
    </row>
    <row customHeight="true" ht="16.071428571428573" r="882">
      <c r="A882" s="220">
        <v>846</v>
      </c>
      <c r="B882" s="221" t="s">
        <v>1351</v>
      </c>
      <c r="C882" s="221" t="s">
        <v>1385</v>
      </c>
      <c r="D882" s="221" t="s">
        <v>1378</v>
      </c>
      <c r="E882" s="222">
        <v>45.8</v>
      </c>
      <c r="F882" s="223">
        <v>0.74</v>
      </c>
      <c r="G882" s="220" t="s">
        <v>1369</v>
      </c>
      <c r="H882" s="221" t="s">
        <v>1370</v>
      </c>
    </row>
    <row customHeight="true" ht="16.071428571428573" r="883">
      <c r="A883" s="220">
        <v>847</v>
      </c>
      <c r="B883" s="221" t="s">
        <v>1351</v>
      </c>
      <c r="C883" s="221" t="s">
        <v>1367</v>
      </c>
      <c r="D883" s="221" t="s">
        <v>1378</v>
      </c>
      <c r="E883" s="222">
        <v>41.9</v>
      </c>
      <c r="F883" s="223">
        <v>1.25</v>
      </c>
      <c r="G883" s="220" t="s">
        <v>1369</v>
      </c>
      <c r="H883" s="221" t="s">
        <v>1370</v>
      </c>
    </row>
    <row customHeight="true" ht="16.071428571428573" r="884">
      <c r="A884" s="220">
        <v>848</v>
      </c>
      <c r="B884" s="221" t="s">
        <v>1371</v>
      </c>
      <c r="C884" s="221" t="s">
        <v>1385</v>
      </c>
      <c r="D884" s="221" t="s">
        <v>1373</v>
      </c>
      <c r="E884" s="222">
        <v>41.9</v>
      </c>
      <c r="F884" s="223">
        <v>1.06</v>
      </c>
      <c r="G884" s="220" t="s">
        <v>1369</v>
      </c>
      <c r="H884" s="221" t="s">
        <v>1370</v>
      </c>
    </row>
    <row customHeight="true" ht="16.071428571428573" r="885">
      <c r="A885" s="220">
        <v>849</v>
      </c>
      <c r="B885" s="221" t="s">
        <v>1374</v>
      </c>
      <c r="C885" s="221" t="s">
        <v>1383</v>
      </c>
      <c r="D885" s="221" t="s">
        <v>1376</v>
      </c>
      <c r="E885" s="222">
        <v>44.2</v>
      </c>
      <c r="F885" s="223">
        <v>1.24</v>
      </c>
      <c r="G885" s="220" t="s">
        <v>1369</v>
      </c>
      <c r="H885" s="221" t="s">
        <v>1370</v>
      </c>
    </row>
    <row customHeight="true" ht="16.071428571428573" r="886">
      <c r="A886" s="220">
        <v>850</v>
      </c>
      <c r="B886" s="221" t="s">
        <v>1351</v>
      </c>
      <c r="C886" s="221" t="s">
        <v>1367</v>
      </c>
      <c r="D886" s="221" t="s">
        <v>1378</v>
      </c>
      <c r="E886" s="222">
        <v>39.5</v>
      </c>
      <c r="F886" s="223">
        <v>0.94</v>
      </c>
      <c r="G886" s="220" t="s">
        <v>1369</v>
      </c>
      <c r="H886" s="221" t="s">
        <v>1370</v>
      </c>
    </row>
    <row customHeight="true" ht="16.071428571428573" r="887">
      <c r="A887" s="220">
        <v>851</v>
      </c>
      <c r="B887" s="221" t="s">
        <v>1351</v>
      </c>
      <c r="C887" s="221" t="s">
        <v>1379</v>
      </c>
      <c r="D887" s="221" t="s">
        <v>1378</v>
      </c>
      <c r="E887" s="222">
        <v>43.7</v>
      </c>
      <c r="F887" s="223">
        <v>0.68</v>
      </c>
      <c r="G887" s="220" t="s">
        <v>1369</v>
      </c>
      <c r="H887" s="221" t="s">
        <v>1370</v>
      </c>
    </row>
    <row customHeight="true" ht="16.071428571428573" r="888">
      <c r="A888" s="220">
        <v>852</v>
      </c>
      <c r="B888" s="221" t="s">
        <v>1374</v>
      </c>
      <c r="C888" s="221" t="s">
        <v>1384</v>
      </c>
      <c r="D888" s="221" t="s">
        <v>1376</v>
      </c>
      <c r="E888" s="222">
        <v>42.9</v>
      </c>
      <c r="F888" s="223">
        <v>1.13</v>
      </c>
      <c r="G888" s="220" t="s">
        <v>1369</v>
      </c>
      <c r="H888" s="221" t="s">
        <v>1370</v>
      </c>
    </row>
    <row customHeight="true" ht="16.071428571428573" r="889">
      <c r="A889" s="220">
        <v>853</v>
      </c>
      <c r="B889" s="221" t="s">
        <v>1351</v>
      </c>
      <c r="C889" s="221" t="s">
        <v>1384</v>
      </c>
      <c r="D889" s="221" t="s">
        <v>1378</v>
      </c>
      <c r="E889" s="222">
        <v>39.7</v>
      </c>
      <c r="F889" s="223">
        <v>0.74</v>
      </c>
      <c r="G889" s="220" t="s">
        <v>1369</v>
      </c>
      <c r="H889" s="221" t="s">
        <v>1370</v>
      </c>
    </row>
    <row customHeight="true" ht="16.071428571428573" r="890">
      <c r="A890" s="220">
        <v>854</v>
      </c>
      <c r="B890" s="221" t="s">
        <v>1353</v>
      </c>
      <c r="C890" s="221" t="s">
        <v>1380</v>
      </c>
      <c r="D890" s="221" t="s">
        <v>1368</v>
      </c>
      <c r="E890" s="222">
        <v>39.4</v>
      </c>
      <c r="F890" s="223">
        <v>2.08</v>
      </c>
      <c r="G890" s="220" t="s">
        <v>1369</v>
      </c>
      <c r="H890" s="221" t="s">
        <v>1370</v>
      </c>
    </row>
    <row customHeight="true" ht="16.071428571428573" r="891">
      <c r="A891" s="220">
        <v>855</v>
      </c>
      <c r="B891" s="221" t="s">
        <v>1353</v>
      </c>
      <c r="C891" s="221" t="s">
        <v>1380</v>
      </c>
      <c r="D891" s="221" t="s">
        <v>1368</v>
      </c>
      <c r="E891" s="222">
        <v>39.7</v>
      </c>
      <c r="F891" s="223">
        <v>1.6</v>
      </c>
      <c r="G891" s="220" t="s">
        <v>1369</v>
      </c>
      <c r="H891" s="221" t="s">
        <v>1370</v>
      </c>
    </row>
    <row customHeight="true" ht="16.071428571428573" r="892">
      <c r="A892" s="220">
        <v>856</v>
      </c>
      <c r="B892" s="221" t="s">
        <v>1374</v>
      </c>
      <c r="C892" s="221" t="s">
        <v>1383</v>
      </c>
      <c r="D892" s="221" t="s">
        <v>1376</v>
      </c>
      <c r="E892" s="222">
        <v>42.4</v>
      </c>
      <c r="F892" s="223">
        <v>1.04</v>
      </c>
      <c r="G892" s="220" t="s">
        <v>1369</v>
      </c>
      <c r="H892" s="221" t="s">
        <v>1370</v>
      </c>
    </row>
    <row customHeight="true" ht="16.071428571428573" r="893">
      <c r="A893" s="220">
        <v>857</v>
      </c>
      <c r="B893" s="221" t="s">
        <v>1371</v>
      </c>
      <c r="C893" s="221" t="s">
        <v>1386</v>
      </c>
      <c r="D893" s="221" t="s">
        <v>1373</v>
      </c>
      <c r="E893" s="222">
        <v>44.7</v>
      </c>
      <c r="F893" s="223">
        <v>2.05</v>
      </c>
      <c r="G893" s="220" t="s">
        <v>1369</v>
      </c>
      <c r="H893" s="221" t="s">
        <v>1370</v>
      </c>
    </row>
    <row customHeight="true" ht="16.071428571428573" r="894">
      <c r="A894" s="220">
        <v>858</v>
      </c>
      <c r="B894" s="221" t="s">
        <v>1353</v>
      </c>
      <c r="C894" s="221" t="s">
        <v>1380</v>
      </c>
      <c r="D894" s="221" t="s">
        <v>1368</v>
      </c>
      <c r="E894" s="222">
        <v>38.3</v>
      </c>
      <c r="F894" s="223">
        <v>1.12</v>
      </c>
      <c r="G894" s="220" t="s">
        <v>1369</v>
      </c>
      <c r="H894" s="221" t="s">
        <v>1370</v>
      </c>
    </row>
    <row customHeight="true" ht="16.071428571428573" r="895">
      <c r="A895" s="220">
        <v>859</v>
      </c>
      <c r="B895" s="221" t="s">
        <v>1371</v>
      </c>
      <c r="C895" s="221" t="s">
        <v>1377</v>
      </c>
      <c r="D895" s="221" t="s">
        <v>1373</v>
      </c>
      <c r="E895" s="222">
        <v>43.2</v>
      </c>
      <c r="F895" s="223">
        <v>1.4</v>
      </c>
      <c r="G895" s="220" t="s">
        <v>1369</v>
      </c>
      <c r="H895" s="221" t="s">
        <v>1370</v>
      </c>
    </row>
    <row customHeight="true" ht="16.071428571428573" r="896">
      <c r="A896" s="220">
        <v>860</v>
      </c>
      <c r="B896" s="221" t="s">
        <v>1374</v>
      </c>
      <c r="C896" s="221" t="s">
        <v>1383</v>
      </c>
      <c r="D896" s="221" t="s">
        <v>1376</v>
      </c>
      <c r="E896" s="222">
        <v>40.8</v>
      </c>
      <c r="F896" s="223">
        <v>0.58</v>
      </c>
      <c r="G896" s="220" t="s">
        <v>1369</v>
      </c>
      <c r="H896" s="221" t="s">
        <v>1370</v>
      </c>
    </row>
    <row customHeight="true" ht="16.071428571428573" r="897">
      <c r="A897" s="220">
        <v>861</v>
      </c>
      <c r="B897" s="221" t="s">
        <v>1374</v>
      </c>
      <c r="C897" s="221" t="s">
        <v>1385</v>
      </c>
      <c r="D897" s="221" t="s">
        <v>1376</v>
      </c>
      <c r="E897" s="222">
        <v>40.9</v>
      </c>
      <c r="F897" s="223">
        <v>0.54</v>
      </c>
      <c r="G897" s="220" t="s">
        <v>1369</v>
      </c>
      <c r="H897" s="221" t="s">
        <v>1370</v>
      </c>
    </row>
    <row customHeight="true" ht="16.071428571428573" r="898">
      <c r="A898" s="220">
        <v>862</v>
      </c>
      <c r="B898" s="221" t="s">
        <v>1374</v>
      </c>
      <c r="C898" s="221" t="s">
        <v>1388</v>
      </c>
      <c r="D898" s="221" t="s">
        <v>1376</v>
      </c>
      <c r="E898" s="222">
        <v>41.1</v>
      </c>
      <c r="F898" s="223">
        <v>1.07</v>
      </c>
      <c r="G898" s="220" t="s">
        <v>1369</v>
      </c>
      <c r="H898" s="221" t="s">
        <v>1370</v>
      </c>
    </row>
    <row customHeight="true" ht="16.071428571428573" r="899">
      <c r="A899" s="220">
        <v>863</v>
      </c>
      <c r="B899" s="221" t="s">
        <v>1351</v>
      </c>
      <c r="C899" s="221" t="s">
        <v>1389</v>
      </c>
      <c r="D899" s="221" t="s">
        <v>1378</v>
      </c>
      <c r="E899" s="222">
        <v>40.6</v>
      </c>
      <c r="F899" s="223">
        <v>1.71</v>
      </c>
      <c r="G899" s="220" t="s">
        <v>1369</v>
      </c>
      <c r="H899" s="221" t="s">
        <v>1370</v>
      </c>
    </row>
    <row customHeight="true" ht="16.071428571428573" r="900">
      <c r="A900" s="220">
        <v>864</v>
      </c>
      <c r="B900" s="221" t="s">
        <v>1351</v>
      </c>
      <c r="C900" s="221" t="s">
        <v>1384</v>
      </c>
      <c r="D900" s="221" t="s">
        <v>1378</v>
      </c>
      <c r="E900" s="222">
        <v>41.7</v>
      </c>
      <c r="F900" s="223">
        <v>1.92</v>
      </c>
      <c r="G900" s="220" t="s">
        <v>1369</v>
      </c>
      <c r="H900" s="221" t="s">
        <v>1370</v>
      </c>
    </row>
    <row customHeight="true" ht="16.071428571428573" r="901">
      <c r="A901" s="220">
        <v>865</v>
      </c>
      <c r="B901" s="221" t="s">
        <v>1371</v>
      </c>
      <c r="C901" s="221" t="s">
        <v>1372</v>
      </c>
      <c r="D901" s="221" t="s">
        <v>1373</v>
      </c>
      <c r="E901" s="222">
        <v>43.6</v>
      </c>
      <c r="F901" s="223">
        <v>0.7</v>
      </c>
      <c r="G901" s="220" t="s">
        <v>1369</v>
      </c>
      <c r="H901" s="221" t="s">
        <v>1370</v>
      </c>
    </row>
    <row customHeight="true" ht="16.071428571428573" r="902">
      <c r="A902" s="220">
        <v>866</v>
      </c>
      <c r="B902" s="221" t="s">
        <v>1374</v>
      </c>
      <c r="C902" s="221" t="s">
        <v>1379</v>
      </c>
      <c r="D902" s="221" t="s">
        <v>1376</v>
      </c>
      <c r="E902" s="222">
        <v>37</v>
      </c>
      <c r="F902" s="223">
        <v>1</v>
      </c>
      <c r="G902" s="220" t="s">
        <v>1369</v>
      </c>
      <c r="H902" s="221" t="s">
        <v>1370</v>
      </c>
    </row>
    <row customHeight="true" ht="16.071428571428573" r="903">
      <c r="A903" s="220">
        <v>867</v>
      </c>
      <c r="B903" s="221" t="s">
        <v>1371</v>
      </c>
      <c r="C903" s="221" t="s">
        <v>1372</v>
      </c>
      <c r="D903" s="221" t="s">
        <v>1373</v>
      </c>
      <c r="E903" s="222">
        <v>38.6</v>
      </c>
      <c r="F903" s="223">
        <v>1.9</v>
      </c>
      <c r="G903" s="220" t="s">
        <v>1369</v>
      </c>
      <c r="H903" s="221" t="s">
        <v>1370</v>
      </c>
    </row>
    <row customHeight="true" ht="16.071428571428573" r="904">
      <c r="A904" s="220">
        <v>868</v>
      </c>
      <c r="B904" s="221" t="s">
        <v>1351</v>
      </c>
      <c r="C904" s="221" t="s">
        <v>1367</v>
      </c>
      <c r="D904" s="221" t="s">
        <v>1378</v>
      </c>
      <c r="E904" s="222">
        <v>51.1</v>
      </c>
      <c r="F904" s="223">
        <v>3.82</v>
      </c>
      <c r="G904" s="220" t="s">
        <v>1381</v>
      </c>
      <c r="H904" s="221" t="s">
        <v>1382</v>
      </c>
    </row>
    <row customHeight="true" ht="16.071428571428573" r="905">
      <c r="A905" s="220">
        <v>869</v>
      </c>
      <c r="B905" s="221" t="s">
        <v>1353</v>
      </c>
      <c r="C905" s="221" t="s">
        <v>1375</v>
      </c>
      <c r="D905" s="221" t="s">
        <v>1368</v>
      </c>
      <c r="E905" s="222">
        <v>42.3</v>
      </c>
      <c r="F905" s="223">
        <v>1.25</v>
      </c>
      <c r="G905" s="220" t="s">
        <v>1369</v>
      </c>
      <c r="H905" s="221" t="s">
        <v>1370</v>
      </c>
    </row>
    <row customHeight="true" ht="16.071428571428573" r="906">
      <c r="A906" s="220">
        <v>870</v>
      </c>
      <c r="B906" s="221" t="s">
        <v>1351</v>
      </c>
      <c r="C906" s="221" t="s">
        <v>1367</v>
      </c>
      <c r="D906" s="221" t="s">
        <v>1378</v>
      </c>
      <c r="E906" s="222">
        <v>36.4</v>
      </c>
      <c r="F906" s="223">
        <v>0.98</v>
      </c>
      <c r="G906" s="220" t="s">
        <v>1369</v>
      </c>
      <c r="H906" s="221" t="s">
        <v>1370</v>
      </c>
    </row>
    <row customHeight="true" ht="16.071428571428573" r="907">
      <c r="A907" s="220">
        <v>871</v>
      </c>
      <c r="B907" s="221" t="s">
        <v>1351</v>
      </c>
      <c r="C907" s="221" t="s">
        <v>1380</v>
      </c>
      <c r="D907" s="221" t="s">
        <v>1378</v>
      </c>
      <c r="E907" s="222">
        <v>42.2</v>
      </c>
      <c r="F907" s="223">
        <v>0.59</v>
      </c>
      <c r="G907" s="220" t="s">
        <v>1369</v>
      </c>
      <c r="H907" s="221" t="s">
        <v>1370</v>
      </c>
    </row>
    <row customHeight="true" ht="16.071428571428573" r="908">
      <c r="A908" s="220">
        <v>872</v>
      </c>
      <c r="B908" s="221" t="s">
        <v>1371</v>
      </c>
      <c r="C908" s="221" t="s">
        <v>1375</v>
      </c>
      <c r="D908" s="221" t="s">
        <v>1373</v>
      </c>
      <c r="E908" s="222">
        <v>45.3</v>
      </c>
      <c r="F908" s="223">
        <v>0.56</v>
      </c>
      <c r="G908" s="220" t="s">
        <v>1369</v>
      </c>
      <c r="H908" s="221" t="s">
        <v>1370</v>
      </c>
    </row>
    <row customHeight="true" ht="16.071428571428573" r="909">
      <c r="A909" s="220">
        <v>873</v>
      </c>
      <c r="B909" s="221" t="s">
        <v>1351</v>
      </c>
      <c r="C909" s="221" t="s">
        <v>1385</v>
      </c>
      <c r="D909" s="221" t="s">
        <v>1378</v>
      </c>
      <c r="E909" s="222">
        <v>37</v>
      </c>
      <c r="F909" s="223">
        <v>1.84</v>
      </c>
      <c r="G909" s="220" t="s">
        <v>1369</v>
      </c>
      <c r="H909" s="221" t="s">
        <v>1370</v>
      </c>
    </row>
    <row customHeight="true" ht="16.071428571428573" r="910">
      <c r="A910" s="220">
        <v>874</v>
      </c>
      <c r="B910" s="221" t="s">
        <v>1351</v>
      </c>
      <c r="C910" s="221" t="s">
        <v>1385</v>
      </c>
      <c r="D910" s="221" t="s">
        <v>1378</v>
      </c>
      <c r="E910" s="222">
        <v>37.5</v>
      </c>
      <c r="F910" s="223">
        <v>0.96</v>
      </c>
      <c r="G910" s="220" t="s">
        <v>1369</v>
      </c>
      <c r="H910" s="221" t="s">
        <v>1370</v>
      </c>
    </row>
    <row customHeight="true" ht="16.071428571428573" r="911">
      <c r="A911" s="220">
        <v>875</v>
      </c>
      <c r="B911" s="221" t="s">
        <v>1374</v>
      </c>
      <c r="C911" s="221" t="s">
        <v>1384</v>
      </c>
      <c r="D911" s="221" t="s">
        <v>1376</v>
      </c>
      <c r="E911" s="222">
        <v>41</v>
      </c>
      <c r="F911" s="223">
        <v>0.79</v>
      </c>
      <c r="G911" s="220" t="s">
        <v>1369</v>
      </c>
      <c r="H911" s="221" t="s">
        <v>1370</v>
      </c>
    </row>
    <row customHeight="true" ht="16.071428571428573" r="912">
      <c r="A912" s="220">
        <v>876</v>
      </c>
      <c r="B912" s="221" t="s">
        <v>1351</v>
      </c>
      <c r="C912" s="221" t="s">
        <v>1385</v>
      </c>
      <c r="D912" s="221" t="s">
        <v>1378</v>
      </c>
      <c r="E912" s="222">
        <v>37</v>
      </c>
      <c r="F912" s="223">
        <v>0.99</v>
      </c>
      <c r="G912" s="220" t="s">
        <v>1369</v>
      </c>
      <c r="H912" s="221" t="s">
        <v>1370</v>
      </c>
    </row>
    <row customHeight="true" ht="16.071428571428573" r="913">
      <c r="A913" s="220">
        <v>877</v>
      </c>
      <c r="B913" s="221" t="s">
        <v>1351</v>
      </c>
      <c r="C913" s="221" t="s">
        <v>1384</v>
      </c>
      <c r="D913" s="221" t="s">
        <v>1378</v>
      </c>
      <c r="E913" s="222">
        <v>44.7</v>
      </c>
      <c r="F913" s="223">
        <v>0.96</v>
      </c>
      <c r="G913" s="220" t="s">
        <v>1369</v>
      </c>
      <c r="H913" s="221" t="s">
        <v>1370</v>
      </c>
    </row>
    <row customHeight="true" ht="16.071428571428573" r="914">
      <c r="A914" s="220">
        <v>878</v>
      </c>
      <c r="B914" s="221" t="s">
        <v>1353</v>
      </c>
      <c r="C914" s="221" t="s">
        <v>1379</v>
      </c>
      <c r="D914" s="221" t="s">
        <v>1368</v>
      </c>
      <c r="E914" s="222">
        <v>43</v>
      </c>
      <c r="F914" s="223">
        <v>1.86</v>
      </c>
      <c r="G914" s="220" t="s">
        <v>1369</v>
      </c>
      <c r="H914" s="221" t="s">
        <v>1370</v>
      </c>
    </row>
    <row customHeight="true" ht="16.071428571428573" r="915">
      <c r="A915" s="220">
        <v>879</v>
      </c>
      <c r="B915" s="221" t="s">
        <v>1351</v>
      </c>
      <c r="C915" s="221" t="s">
        <v>1385</v>
      </c>
      <c r="D915" s="221" t="s">
        <v>1378</v>
      </c>
      <c r="E915" s="222">
        <v>41.1</v>
      </c>
      <c r="F915" s="223">
        <v>0.5</v>
      </c>
      <c r="G915" s="220" t="s">
        <v>1369</v>
      </c>
      <c r="H915" s="221" t="s">
        <v>1370</v>
      </c>
    </row>
    <row customHeight="true" ht="16.071428571428573" r="916">
      <c r="A916" s="220">
        <v>880</v>
      </c>
      <c r="B916" s="221" t="s">
        <v>1371</v>
      </c>
      <c r="C916" s="221" t="s">
        <v>1388</v>
      </c>
      <c r="D916" s="221" t="s">
        <v>1373</v>
      </c>
      <c r="E916" s="222">
        <v>38.4</v>
      </c>
      <c r="F916" s="223">
        <v>0.76</v>
      </c>
      <c r="G916" s="220" t="s">
        <v>1369</v>
      </c>
      <c r="H916" s="221" t="s">
        <v>1370</v>
      </c>
    </row>
    <row customHeight="true" ht="16.071428571428573" r="917">
      <c r="A917" s="220">
        <v>881</v>
      </c>
      <c r="B917" s="221" t="s">
        <v>1353</v>
      </c>
      <c r="C917" s="221" t="s">
        <v>1367</v>
      </c>
      <c r="D917" s="221" t="s">
        <v>1368</v>
      </c>
      <c r="E917" s="222">
        <v>38.7</v>
      </c>
      <c r="F917" s="223">
        <v>1.93</v>
      </c>
      <c r="G917" s="220" t="s">
        <v>1369</v>
      </c>
      <c r="H917" s="221" t="s">
        <v>1370</v>
      </c>
    </row>
    <row customHeight="true" ht="16.071428571428573" r="918">
      <c r="A918" s="220">
        <v>882</v>
      </c>
      <c r="B918" s="221" t="s">
        <v>1353</v>
      </c>
      <c r="C918" s="221" t="s">
        <v>1389</v>
      </c>
      <c r="D918" s="221" t="s">
        <v>1368</v>
      </c>
      <c r="E918" s="222">
        <v>38.7</v>
      </c>
      <c r="F918" s="223">
        <v>0.73</v>
      </c>
      <c r="G918" s="220" t="s">
        <v>1369</v>
      </c>
      <c r="H918" s="221" t="s">
        <v>1370</v>
      </c>
    </row>
    <row customHeight="true" ht="16.071428571428573" r="919">
      <c r="A919" s="220">
        <v>883</v>
      </c>
      <c r="B919" s="221" t="s">
        <v>1374</v>
      </c>
      <c r="C919" s="221" t="s">
        <v>1377</v>
      </c>
      <c r="D919" s="221" t="s">
        <v>1376</v>
      </c>
      <c r="E919" s="222">
        <v>44.3</v>
      </c>
      <c r="F919" s="223">
        <v>1.59</v>
      </c>
      <c r="G919" s="220" t="s">
        <v>1369</v>
      </c>
      <c r="H919" s="221" t="s">
        <v>1370</v>
      </c>
    </row>
    <row customHeight="true" ht="16.071428571428573" r="920">
      <c r="A920" s="220">
        <v>884</v>
      </c>
      <c r="B920" s="221" t="s">
        <v>1374</v>
      </c>
      <c r="C920" s="221" t="s">
        <v>1367</v>
      </c>
      <c r="D920" s="221" t="s">
        <v>1376</v>
      </c>
      <c r="E920" s="222">
        <v>36.3</v>
      </c>
      <c r="F920" s="223">
        <v>1.93</v>
      </c>
      <c r="G920" s="220" t="s">
        <v>1369</v>
      </c>
      <c r="H920" s="221" t="s">
        <v>1370</v>
      </c>
    </row>
    <row customHeight="true" ht="16.071428571428573" r="921">
      <c r="A921" s="220">
        <v>885</v>
      </c>
      <c r="B921" s="221" t="s">
        <v>1353</v>
      </c>
      <c r="C921" s="221" t="s">
        <v>1383</v>
      </c>
      <c r="D921" s="221" t="s">
        <v>1368</v>
      </c>
      <c r="E921" s="222">
        <v>41.4</v>
      </c>
      <c r="F921" s="223">
        <v>2.04</v>
      </c>
      <c r="G921" s="220" t="s">
        <v>1369</v>
      </c>
      <c r="H921" s="221" t="s">
        <v>1370</v>
      </c>
    </row>
    <row customHeight="true" ht="16.071428571428573" r="922">
      <c r="A922" s="220">
        <v>886</v>
      </c>
      <c r="B922" s="221" t="s">
        <v>1374</v>
      </c>
      <c r="C922" s="221" t="s">
        <v>1380</v>
      </c>
      <c r="D922" s="221" t="s">
        <v>1376</v>
      </c>
      <c r="E922" s="222">
        <v>39.3</v>
      </c>
      <c r="F922" s="223">
        <v>0.81</v>
      </c>
      <c r="G922" s="220" t="s">
        <v>1369</v>
      </c>
      <c r="H922" s="221" t="s">
        <v>1370</v>
      </c>
    </row>
    <row customHeight="true" ht="16.071428571428573" r="923">
      <c r="A923" s="220">
        <v>887</v>
      </c>
      <c r="B923" s="221" t="s">
        <v>1374</v>
      </c>
      <c r="C923" s="221" t="s">
        <v>1372</v>
      </c>
      <c r="D923" s="221" t="s">
        <v>1376</v>
      </c>
      <c r="E923" s="222">
        <v>39.5</v>
      </c>
      <c r="F923" s="223">
        <v>1.48</v>
      </c>
      <c r="G923" s="220" t="s">
        <v>1369</v>
      </c>
      <c r="H923" s="221" t="s">
        <v>1370</v>
      </c>
    </row>
    <row customHeight="true" ht="16.071428571428573" r="924">
      <c r="A924" s="220">
        <v>888</v>
      </c>
      <c r="B924" s="221" t="s">
        <v>1351</v>
      </c>
      <c r="C924" s="221" t="s">
        <v>1379</v>
      </c>
      <c r="D924" s="221" t="s">
        <v>1378</v>
      </c>
      <c r="E924" s="222">
        <v>41.9</v>
      </c>
      <c r="F924" s="223">
        <v>1.45</v>
      </c>
      <c r="G924" s="220" t="s">
        <v>1369</v>
      </c>
      <c r="H924" s="221" t="s">
        <v>1370</v>
      </c>
    </row>
    <row customHeight="true" ht="16.071428571428573" r="925">
      <c r="A925" s="220">
        <v>889</v>
      </c>
      <c r="B925" s="221" t="s">
        <v>1371</v>
      </c>
      <c r="C925" s="221" t="s">
        <v>1377</v>
      </c>
      <c r="D925" s="221" t="s">
        <v>1373</v>
      </c>
      <c r="E925" s="222">
        <v>42.7</v>
      </c>
      <c r="F925" s="223">
        <v>2.04</v>
      </c>
      <c r="G925" s="220" t="s">
        <v>1369</v>
      </c>
      <c r="H925" s="221" t="s">
        <v>1370</v>
      </c>
    </row>
    <row customHeight="true" ht="16.071428571428573" r="926">
      <c r="A926" s="220">
        <v>890</v>
      </c>
      <c r="B926" s="221" t="s">
        <v>1374</v>
      </c>
      <c r="C926" s="221" t="s">
        <v>1388</v>
      </c>
      <c r="D926" s="221" t="s">
        <v>1376</v>
      </c>
      <c r="E926" s="222">
        <v>38.5</v>
      </c>
      <c r="F926" s="223">
        <v>1.91</v>
      </c>
      <c r="G926" s="220" t="s">
        <v>1369</v>
      </c>
      <c r="H926" s="221" t="s">
        <v>1370</v>
      </c>
    </row>
    <row customHeight="true" ht="16.071428571428573" r="927">
      <c r="A927" s="220">
        <v>891</v>
      </c>
      <c r="B927" s="221" t="s">
        <v>1374</v>
      </c>
      <c r="C927" s="221" t="s">
        <v>1386</v>
      </c>
      <c r="D927" s="221" t="s">
        <v>1376</v>
      </c>
      <c r="E927" s="222">
        <v>44.3</v>
      </c>
      <c r="F927" s="223">
        <v>1.82</v>
      </c>
      <c r="G927" s="220" t="s">
        <v>1369</v>
      </c>
      <c r="H927" s="221" t="s">
        <v>1370</v>
      </c>
    </row>
    <row customHeight="true" ht="16.071428571428573" r="928">
      <c r="A928" s="220">
        <v>892</v>
      </c>
      <c r="B928" s="221" t="s">
        <v>1351</v>
      </c>
      <c r="C928" s="221" t="s">
        <v>1375</v>
      </c>
      <c r="D928" s="221" t="s">
        <v>1378</v>
      </c>
      <c r="E928" s="222">
        <v>38.1</v>
      </c>
      <c r="F928" s="223">
        <v>1.34</v>
      </c>
      <c r="G928" s="220" t="s">
        <v>1369</v>
      </c>
      <c r="H928" s="221" t="s">
        <v>1370</v>
      </c>
    </row>
    <row customHeight="true" ht="16.071428571428573" r="929">
      <c r="A929" s="220">
        <v>893</v>
      </c>
      <c r="B929" s="221" t="s">
        <v>1353</v>
      </c>
      <c r="C929" s="221" t="s">
        <v>1385</v>
      </c>
      <c r="D929" s="221" t="s">
        <v>1368</v>
      </c>
      <c r="E929" s="222">
        <v>37.1</v>
      </c>
      <c r="F929" s="223">
        <v>1.62</v>
      </c>
      <c r="G929" s="220" t="s">
        <v>1369</v>
      </c>
      <c r="H929" s="221" t="s">
        <v>1370</v>
      </c>
    </row>
    <row customHeight="true" ht="16.071428571428573" r="930">
      <c r="A930" s="220">
        <v>894</v>
      </c>
      <c r="B930" s="221" t="s">
        <v>1351</v>
      </c>
      <c r="C930" s="221" t="s">
        <v>1386</v>
      </c>
      <c r="D930" s="221" t="s">
        <v>1378</v>
      </c>
      <c r="E930" s="222">
        <v>37.3</v>
      </c>
      <c r="F930" s="223">
        <v>1.11</v>
      </c>
      <c r="G930" s="220" t="s">
        <v>1369</v>
      </c>
      <c r="H930" s="221" t="s">
        <v>1370</v>
      </c>
    </row>
    <row customHeight="true" ht="16.071428571428573" r="931">
      <c r="A931" s="220">
        <v>895</v>
      </c>
      <c r="B931" s="221" t="s">
        <v>1374</v>
      </c>
      <c r="C931" s="221" t="s">
        <v>1389</v>
      </c>
      <c r="D931" s="221" t="s">
        <v>1376</v>
      </c>
      <c r="E931" s="222">
        <v>40.2</v>
      </c>
      <c r="F931" s="223">
        <v>1.95</v>
      </c>
      <c r="G931" s="220" t="s">
        <v>1369</v>
      </c>
      <c r="H931" s="221" t="s">
        <v>1370</v>
      </c>
    </row>
    <row customHeight="true" ht="16.071428571428573" r="932">
      <c r="A932" s="220">
        <v>896</v>
      </c>
      <c r="B932" s="221" t="s">
        <v>1351</v>
      </c>
      <c r="C932" s="221" t="s">
        <v>1384</v>
      </c>
      <c r="D932" s="221" t="s">
        <v>1378</v>
      </c>
      <c r="E932" s="222">
        <v>37</v>
      </c>
      <c r="F932" s="223">
        <v>2.06</v>
      </c>
      <c r="G932" s="220" t="s">
        <v>1369</v>
      </c>
      <c r="H932" s="221" t="s">
        <v>1370</v>
      </c>
    </row>
    <row customHeight="true" ht="16.071428571428573" r="933">
      <c r="A933" s="220">
        <v>897</v>
      </c>
      <c r="B933" s="221" t="s">
        <v>1351</v>
      </c>
      <c r="C933" s="221" t="s">
        <v>1383</v>
      </c>
      <c r="D933" s="221" t="s">
        <v>1378</v>
      </c>
      <c r="E933" s="222">
        <v>42</v>
      </c>
      <c r="F933" s="223">
        <v>1.23</v>
      </c>
      <c r="G933" s="220" t="s">
        <v>1369</v>
      </c>
      <c r="H933" s="221" t="s">
        <v>1370</v>
      </c>
    </row>
    <row customHeight="true" ht="16.071428571428573" r="934">
      <c r="A934" s="220">
        <v>898</v>
      </c>
      <c r="B934" s="221" t="s">
        <v>1351</v>
      </c>
      <c r="C934" s="221" t="s">
        <v>1375</v>
      </c>
      <c r="D934" s="221" t="s">
        <v>1378</v>
      </c>
      <c r="E934" s="222">
        <v>38.1</v>
      </c>
      <c r="F934" s="223">
        <v>1.48</v>
      </c>
      <c r="G934" s="220" t="s">
        <v>1369</v>
      </c>
      <c r="H934" s="221" t="s">
        <v>1370</v>
      </c>
    </row>
    <row customHeight="true" ht="16.071428571428573" r="935">
      <c r="A935" s="220">
        <v>899</v>
      </c>
      <c r="B935" s="221" t="s">
        <v>1353</v>
      </c>
      <c r="C935" s="221" t="s">
        <v>1375</v>
      </c>
      <c r="D935" s="221" t="s">
        <v>1368</v>
      </c>
      <c r="E935" s="222">
        <v>38.9</v>
      </c>
      <c r="F935" s="223">
        <v>1.45</v>
      </c>
      <c r="G935" s="220" t="s">
        <v>1369</v>
      </c>
      <c r="H935" s="221" t="s">
        <v>1370</v>
      </c>
    </row>
    <row customHeight="true" ht="16.071428571428573" r="936">
      <c r="A936" s="220">
        <v>900</v>
      </c>
      <c r="B936" s="221" t="s">
        <v>1353</v>
      </c>
      <c r="C936" s="221" t="s">
        <v>1367</v>
      </c>
      <c r="D936" s="221" t="s">
        <v>1368</v>
      </c>
      <c r="E936" s="222">
        <v>41.6</v>
      </c>
      <c r="F936" s="223">
        <v>1.54</v>
      </c>
      <c r="G936" s="220" t="s">
        <v>1369</v>
      </c>
      <c r="H936" s="221" t="s">
        <v>1370</v>
      </c>
    </row>
    <row customHeight="true" ht="16.071428571428573" r="937">
      <c r="A937" s="220">
        <v>901</v>
      </c>
      <c r="B937" s="221" t="s">
        <v>1374</v>
      </c>
      <c r="C937" s="221" t="s">
        <v>1386</v>
      </c>
      <c r="D937" s="221" t="s">
        <v>1376</v>
      </c>
      <c r="E937" s="222">
        <v>45.3</v>
      </c>
      <c r="F937" s="223">
        <v>1.73</v>
      </c>
      <c r="G937" s="220" t="s">
        <v>1369</v>
      </c>
      <c r="H937" s="221" t="s">
        <v>1370</v>
      </c>
    </row>
    <row customHeight="true" ht="16.071428571428573" r="938">
      <c r="A938" s="220">
        <v>902</v>
      </c>
      <c r="B938" s="221" t="s">
        <v>1351</v>
      </c>
      <c r="C938" s="221" t="s">
        <v>1380</v>
      </c>
      <c r="D938" s="221" t="s">
        <v>1378</v>
      </c>
      <c r="E938" s="222">
        <v>37.6</v>
      </c>
      <c r="F938" s="223">
        <v>1.55</v>
      </c>
      <c r="G938" s="220" t="s">
        <v>1369</v>
      </c>
      <c r="H938" s="221" t="s">
        <v>1370</v>
      </c>
    </row>
    <row customHeight="true" ht="16.071428571428573" r="939">
      <c r="A939" s="220">
        <v>903</v>
      </c>
      <c r="B939" s="221" t="s">
        <v>1374</v>
      </c>
      <c r="C939" s="221" t="s">
        <v>1388</v>
      </c>
      <c r="D939" s="221" t="s">
        <v>1376</v>
      </c>
      <c r="E939" s="222">
        <v>39.6</v>
      </c>
      <c r="F939" s="223">
        <v>1.23</v>
      </c>
      <c r="G939" s="220" t="s">
        <v>1369</v>
      </c>
      <c r="H939" s="221" t="s">
        <v>1370</v>
      </c>
    </row>
    <row customHeight="true" ht="16.071428571428573" r="940">
      <c r="A940" s="220">
        <v>904</v>
      </c>
      <c r="B940" s="221" t="s">
        <v>1353</v>
      </c>
      <c r="C940" s="221" t="s">
        <v>1379</v>
      </c>
      <c r="D940" s="221" t="s">
        <v>1368</v>
      </c>
      <c r="E940" s="222">
        <v>38.4</v>
      </c>
      <c r="F940" s="223">
        <v>1.6</v>
      </c>
      <c r="G940" s="220" t="s">
        <v>1369</v>
      </c>
      <c r="H940" s="221" t="s">
        <v>1370</v>
      </c>
    </row>
    <row customHeight="true" ht="16.071428571428573" r="941">
      <c r="A941" s="220">
        <v>905</v>
      </c>
      <c r="B941" s="221" t="s">
        <v>1374</v>
      </c>
      <c r="C941" s="221" t="s">
        <v>1385</v>
      </c>
      <c r="D941" s="221" t="s">
        <v>1376</v>
      </c>
      <c r="E941" s="222">
        <v>44.8</v>
      </c>
      <c r="F941" s="223">
        <v>1.14</v>
      </c>
      <c r="G941" s="220" t="s">
        <v>1369</v>
      </c>
      <c r="H941" s="221" t="s">
        <v>1370</v>
      </c>
    </row>
    <row customHeight="true" ht="16.071428571428573" r="942">
      <c r="A942" s="220">
        <v>906</v>
      </c>
      <c r="B942" s="221" t="s">
        <v>1351</v>
      </c>
      <c r="C942" s="221" t="s">
        <v>1386</v>
      </c>
      <c r="D942" s="221" t="s">
        <v>1378</v>
      </c>
      <c r="E942" s="222">
        <v>42.2</v>
      </c>
      <c r="F942" s="223">
        <v>0.82</v>
      </c>
      <c r="G942" s="220" t="s">
        <v>1369</v>
      </c>
      <c r="H942" s="221" t="s">
        <v>1370</v>
      </c>
    </row>
    <row customHeight="true" ht="16.071428571428573" r="943">
      <c r="A943" s="220">
        <v>907</v>
      </c>
      <c r="B943" s="221" t="s">
        <v>1353</v>
      </c>
      <c r="C943" s="221" t="s">
        <v>1385</v>
      </c>
      <c r="D943" s="221" t="s">
        <v>1368</v>
      </c>
      <c r="E943" s="222">
        <v>37.3</v>
      </c>
      <c r="F943" s="223">
        <v>1.77</v>
      </c>
      <c r="G943" s="220" t="s">
        <v>1369</v>
      </c>
      <c r="H943" s="221" t="s">
        <v>1370</v>
      </c>
    </row>
    <row customHeight="true" ht="16.071428571428573" r="944">
      <c r="A944" s="220">
        <v>908</v>
      </c>
      <c r="B944" s="221" t="s">
        <v>1374</v>
      </c>
      <c r="C944" s="221" t="s">
        <v>1386</v>
      </c>
      <c r="D944" s="221" t="s">
        <v>1376</v>
      </c>
      <c r="E944" s="222">
        <v>38.9</v>
      </c>
      <c r="F944" s="223">
        <v>1.97</v>
      </c>
      <c r="G944" s="220" t="s">
        <v>1369</v>
      </c>
      <c r="H944" s="221" t="s">
        <v>1370</v>
      </c>
    </row>
    <row customHeight="true" ht="16.071428571428573" r="945">
      <c r="A945" s="220">
        <v>909</v>
      </c>
      <c r="B945" s="221" t="s">
        <v>1351</v>
      </c>
      <c r="C945" s="221" t="s">
        <v>1377</v>
      </c>
      <c r="D945" s="221" t="s">
        <v>1378</v>
      </c>
      <c r="E945" s="222">
        <v>43.8</v>
      </c>
      <c r="F945" s="223">
        <v>1.49</v>
      </c>
      <c r="G945" s="220" t="s">
        <v>1369</v>
      </c>
      <c r="H945" s="221" t="s">
        <v>1370</v>
      </c>
    </row>
    <row customHeight="true" ht="16.071428571428573" r="946">
      <c r="A946" s="220">
        <v>910</v>
      </c>
      <c r="B946" s="221" t="s">
        <v>1374</v>
      </c>
      <c r="C946" s="221" t="s">
        <v>1388</v>
      </c>
      <c r="D946" s="221" t="s">
        <v>1376</v>
      </c>
      <c r="E946" s="222">
        <v>42.4</v>
      </c>
      <c r="F946" s="223">
        <v>1.75</v>
      </c>
      <c r="G946" s="220" t="s">
        <v>1369</v>
      </c>
      <c r="H946" s="221" t="s">
        <v>1370</v>
      </c>
    </row>
    <row customHeight="true" ht="16.071428571428573" r="947">
      <c r="A947" s="220">
        <v>911</v>
      </c>
      <c r="B947" s="221" t="s">
        <v>1371</v>
      </c>
      <c r="C947" s="221" t="s">
        <v>1379</v>
      </c>
      <c r="D947" s="221" t="s">
        <v>1373</v>
      </c>
      <c r="E947" s="222">
        <v>44.4</v>
      </c>
      <c r="F947" s="223">
        <v>0.65</v>
      </c>
      <c r="G947" s="220" t="s">
        <v>1369</v>
      </c>
      <c r="H947" s="221" t="s">
        <v>1370</v>
      </c>
    </row>
    <row customHeight="true" ht="16.071428571428573" r="948">
      <c r="A948" s="220">
        <v>912</v>
      </c>
      <c r="B948" s="221" t="s">
        <v>1374</v>
      </c>
      <c r="C948" s="221" t="s">
        <v>1377</v>
      </c>
      <c r="D948" s="221" t="s">
        <v>1376</v>
      </c>
      <c r="E948" s="222">
        <v>37.3</v>
      </c>
      <c r="F948" s="223">
        <v>1.88</v>
      </c>
      <c r="G948" s="220" t="s">
        <v>1369</v>
      </c>
      <c r="H948" s="221" t="s">
        <v>1370</v>
      </c>
    </row>
    <row customHeight="true" ht="16.071428571428573" r="949">
      <c r="A949" s="220">
        <v>913</v>
      </c>
      <c r="B949" s="221" t="s">
        <v>1374</v>
      </c>
      <c r="C949" s="221" t="s">
        <v>1367</v>
      </c>
      <c r="D949" s="221" t="s">
        <v>1376</v>
      </c>
      <c r="E949" s="222">
        <v>44.1</v>
      </c>
      <c r="F949" s="223">
        <v>0.56</v>
      </c>
      <c r="G949" s="220" t="s">
        <v>1369</v>
      </c>
      <c r="H949" s="221" t="s">
        <v>1370</v>
      </c>
    </row>
    <row customHeight="true" ht="16.071428571428573" r="950">
      <c r="A950" s="220">
        <v>914</v>
      </c>
      <c r="B950" s="221" t="s">
        <v>1353</v>
      </c>
      <c r="C950" s="221" t="s">
        <v>1388</v>
      </c>
      <c r="D950" s="221" t="s">
        <v>1368</v>
      </c>
      <c r="E950" s="222">
        <v>41.7</v>
      </c>
      <c r="F950" s="223">
        <v>0.69</v>
      </c>
      <c r="G950" s="220" t="s">
        <v>1369</v>
      </c>
      <c r="H950" s="221" t="s">
        <v>1370</v>
      </c>
    </row>
    <row customHeight="true" ht="16.071428571428573" r="951">
      <c r="A951" s="220">
        <v>915</v>
      </c>
      <c r="B951" s="221" t="s">
        <v>1353</v>
      </c>
      <c r="C951" s="221" t="s">
        <v>1379</v>
      </c>
      <c r="D951" s="221" t="s">
        <v>1368</v>
      </c>
      <c r="E951" s="222">
        <v>44.4</v>
      </c>
      <c r="F951" s="223">
        <v>0.57</v>
      </c>
      <c r="G951" s="220" t="s">
        <v>1369</v>
      </c>
      <c r="H951" s="221" t="s">
        <v>1370</v>
      </c>
    </row>
    <row customHeight="true" ht="16.071428571428573" r="952">
      <c r="A952" s="220">
        <v>916</v>
      </c>
      <c r="B952" s="221" t="s">
        <v>1374</v>
      </c>
      <c r="C952" s="221" t="s">
        <v>1379</v>
      </c>
      <c r="D952" s="221" t="s">
        <v>1376</v>
      </c>
      <c r="E952" s="222">
        <v>44.2</v>
      </c>
      <c r="F952" s="223">
        <v>1.22</v>
      </c>
      <c r="G952" s="220" t="s">
        <v>1369</v>
      </c>
      <c r="H952" s="221" t="s">
        <v>1370</v>
      </c>
    </row>
    <row customHeight="true" ht="16.071428571428573" r="953">
      <c r="A953" s="220">
        <v>917</v>
      </c>
      <c r="B953" s="221" t="s">
        <v>1374</v>
      </c>
      <c r="C953" s="221" t="s">
        <v>1384</v>
      </c>
      <c r="D953" s="221" t="s">
        <v>1376</v>
      </c>
      <c r="E953" s="222">
        <v>44.4</v>
      </c>
      <c r="F953" s="223">
        <v>0.72</v>
      </c>
      <c r="G953" s="220" t="s">
        <v>1369</v>
      </c>
      <c r="H953" s="221" t="s">
        <v>1370</v>
      </c>
    </row>
    <row customHeight="true" ht="16.071428571428573" r="954">
      <c r="A954" s="220">
        <v>918</v>
      </c>
      <c r="B954" s="221" t="s">
        <v>1374</v>
      </c>
      <c r="C954" s="221" t="s">
        <v>1377</v>
      </c>
      <c r="D954" s="221" t="s">
        <v>1376</v>
      </c>
      <c r="E954" s="222">
        <v>43.4</v>
      </c>
      <c r="F954" s="223">
        <v>1.06</v>
      </c>
      <c r="G954" s="220" t="s">
        <v>1369</v>
      </c>
      <c r="H954" s="221" t="s">
        <v>1370</v>
      </c>
    </row>
    <row customHeight="true" ht="16.071428571428573" r="955">
      <c r="A955" s="220">
        <v>919</v>
      </c>
      <c r="B955" s="221" t="s">
        <v>1353</v>
      </c>
      <c r="C955" s="221" t="s">
        <v>1384</v>
      </c>
      <c r="D955" s="221" t="s">
        <v>1368</v>
      </c>
      <c r="E955" s="222">
        <v>51.5</v>
      </c>
      <c r="F955" s="223">
        <v>3.31</v>
      </c>
      <c r="G955" s="220" t="s">
        <v>1381</v>
      </c>
      <c r="H955" s="221" t="s">
        <v>1390</v>
      </c>
    </row>
    <row customHeight="true" ht="16.071428571428573" r="956">
      <c r="A956" s="220">
        <v>920</v>
      </c>
      <c r="B956" s="221" t="s">
        <v>1351</v>
      </c>
      <c r="C956" s="221" t="s">
        <v>1377</v>
      </c>
      <c r="D956" s="221" t="s">
        <v>1378</v>
      </c>
      <c r="E956" s="222">
        <v>38.9</v>
      </c>
      <c r="F956" s="223">
        <v>1.98</v>
      </c>
      <c r="G956" s="220" t="s">
        <v>1369</v>
      </c>
      <c r="H956" s="221" t="s">
        <v>1370</v>
      </c>
    </row>
    <row customHeight="true" ht="16.071428571428573" r="957">
      <c r="A957" s="220">
        <v>921</v>
      </c>
      <c r="B957" s="221" t="s">
        <v>1374</v>
      </c>
      <c r="C957" s="221" t="s">
        <v>1367</v>
      </c>
      <c r="D957" s="221" t="s">
        <v>1376</v>
      </c>
      <c r="E957" s="222">
        <v>45.3</v>
      </c>
      <c r="F957" s="223">
        <v>1.2</v>
      </c>
      <c r="G957" s="220" t="s">
        <v>1369</v>
      </c>
      <c r="H957" s="221" t="s">
        <v>1370</v>
      </c>
    </row>
    <row customHeight="true" ht="16.071428571428573" r="958">
      <c r="A958" s="220">
        <v>922</v>
      </c>
      <c r="B958" s="221" t="s">
        <v>1374</v>
      </c>
      <c r="C958" s="221" t="s">
        <v>1385</v>
      </c>
      <c r="D958" s="221" t="s">
        <v>1376</v>
      </c>
      <c r="E958" s="222">
        <v>43.7</v>
      </c>
      <c r="F958" s="223">
        <v>1.82</v>
      </c>
      <c r="G958" s="220" t="s">
        <v>1369</v>
      </c>
      <c r="H958" s="221" t="s">
        <v>1370</v>
      </c>
    </row>
    <row customHeight="true" ht="16.071428571428573" r="959">
      <c r="A959" s="220">
        <v>923</v>
      </c>
      <c r="B959" s="221" t="s">
        <v>1374</v>
      </c>
      <c r="C959" s="221" t="s">
        <v>1380</v>
      </c>
      <c r="D959" s="221" t="s">
        <v>1376</v>
      </c>
      <c r="E959" s="222">
        <v>42</v>
      </c>
      <c r="F959" s="223">
        <v>2.09</v>
      </c>
      <c r="G959" s="220" t="s">
        <v>1369</v>
      </c>
      <c r="H959" s="221" t="s">
        <v>1370</v>
      </c>
    </row>
    <row customHeight="true" ht="16.071428571428573" r="960">
      <c r="A960" s="220">
        <v>924</v>
      </c>
      <c r="B960" s="221" t="s">
        <v>1351</v>
      </c>
      <c r="C960" s="221" t="s">
        <v>1385</v>
      </c>
      <c r="D960" s="221" t="s">
        <v>1378</v>
      </c>
      <c r="E960" s="222">
        <v>42</v>
      </c>
      <c r="F960" s="223">
        <v>0.74</v>
      </c>
      <c r="G960" s="220" t="s">
        <v>1369</v>
      </c>
      <c r="H960" s="221" t="s">
        <v>1370</v>
      </c>
    </row>
    <row customHeight="true" ht="16.071428571428573" r="961">
      <c r="A961" s="220">
        <v>925</v>
      </c>
      <c r="B961" s="221" t="s">
        <v>1351</v>
      </c>
      <c r="C961" s="221" t="s">
        <v>1389</v>
      </c>
      <c r="D961" s="221" t="s">
        <v>1378</v>
      </c>
      <c r="E961" s="222">
        <v>39.1</v>
      </c>
      <c r="F961" s="223">
        <v>1.11</v>
      </c>
      <c r="G961" s="220" t="s">
        <v>1369</v>
      </c>
      <c r="H961" s="221" t="s">
        <v>1370</v>
      </c>
    </row>
    <row customHeight="true" ht="16.071428571428573" r="962">
      <c r="A962" s="220">
        <v>926</v>
      </c>
      <c r="B962" s="221" t="s">
        <v>1374</v>
      </c>
      <c r="C962" s="221" t="s">
        <v>1372</v>
      </c>
      <c r="D962" s="221" t="s">
        <v>1376</v>
      </c>
      <c r="E962" s="222">
        <v>41.8</v>
      </c>
      <c r="F962" s="223">
        <v>1.18</v>
      </c>
      <c r="G962" s="220" t="s">
        <v>1369</v>
      </c>
      <c r="H962" s="221" t="s">
        <v>1370</v>
      </c>
    </row>
    <row customHeight="true" ht="16.071428571428573" r="963">
      <c r="A963" s="220">
        <v>927</v>
      </c>
      <c r="B963" s="221" t="s">
        <v>1371</v>
      </c>
      <c r="C963" s="221" t="s">
        <v>1385</v>
      </c>
      <c r="D963" s="221" t="s">
        <v>1373</v>
      </c>
      <c r="E963" s="222">
        <v>36.7</v>
      </c>
      <c r="F963" s="223">
        <v>1.35</v>
      </c>
      <c r="G963" s="220" t="s">
        <v>1369</v>
      </c>
      <c r="H963" s="221" t="s">
        <v>1370</v>
      </c>
    </row>
    <row customHeight="true" ht="16.071428571428573" r="964">
      <c r="A964" s="220">
        <v>928</v>
      </c>
      <c r="B964" s="221" t="s">
        <v>1374</v>
      </c>
      <c r="C964" s="221" t="s">
        <v>1367</v>
      </c>
      <c r="D964" s="221" t="s">
        <v>1376</v>
      </c>
      <c r="E964" s="222">
        <v>43.4</v>
      </c>
      <c r="F964" s="223">
        <v>1.72</v>
      </c>
      <c r="G964" s="220" t="s">
        <v>1369</v>
      </c>
      <c r="H964" s="221" t="s">
        <v>1370</v>
      </c>
    </row>
    <row customHeight="true" ht="16.071428571428573" r="965">
      <c r="A965" s="220">
        <v>929</v>
      </c>
      <c r="B965" s="221" t="s">
        <v>1351</v>
      </c>
      <c r="C965" s="221" t="s">
        <v>1383</v>
      </c>
      <c r="D965" s="221" t="s">
        <v>1378</v>
      </c>
      <c r="E965" s="222">
        <v>39.3</v>
      </c>
      <c r="F965" s="223">
        <v>0.96</v>
      </c>
      <c r="G965" s="220" t="s">
        <v>1369</v>
      </c>
      <c r="H965" s="221" t="s">
        <v>1370</v>
      </c>
    </row>
    <row customHeight="true" ht="16.071428571428573" r="966">
      <c r="A966" s="220">
        <v>930</v>
      </c>
      <c r="B966" s="221" t="s">
        <v>1374</v>
      </c>
      <c r="C966" s="221" t="s">
        <v>1388</v>
      </c>
      <c r="D966" s="221" t="s">
        <v>1376</v>
      </c>
      <c r="E966" s="222">
        <v>44.8</v>
      </c>
      <c r="F966" s="223">
        <v>0.84</v>
      </c>
      <c r="G966" s="220" t="s">
        <v>1369</v>
      </c>
      <c r="H966" s="221" t="s">
        <v>1370</v>
      </c>
    </row>
    <row customHeight="true" ht="16.071428571428573" r="967">
      <c r="A967" s="220">
        <v>931</v>
      </c>
      <c r="B967" s="221" t="s">
        <v>1374</v>
      </c>
      <c r="C967" s="221" t="s">
        <v>1386</v>
      </c>
      <c r="D967" s="221" t="s">
        <v>1376</v>
      </c>
      <c r="E967" s="222">
        <v>42</v>
      </c>
      <c r="F967" s="223">
        <v>0.81</v>
      </c>
      <c r="G967" s="220" t="s">
        <v>1369</v>
      </c>
      <c r="H967" s="221" t="s">
        <v>1370</v>
      </c>
    </row>
    <row customHeight="true" ht="16.071428571428573" r="968">
      <c r="A968" s="220">
        <v>932</v>
      </c>
      <c r="B968" s="221" t="s">
        <v>1374</v>
      </c>
      <c r="C968" s="221" t="s">
        <v>1379</v>
      </c>
      <c r="D968" s="221" t="s">
        <v>1376</v>
      </c>
      <c r="E968" s="222">
        <v>44.4</v>
      </c>
      <c r="F968" s="223">
        <v>1.47</v>
      </c>
      <c r="G968" s="220" t="s">
        <v>1369</v>
      </c>
      <c r="H968" s="221" t="s">
        <v>1370</v>
      </c>
    </row>
    <row customHeight="true" ht="16.071428571428573" r="969">
      <c r="A969" s="220">
        <v>933</v>
      </c>
      <c r="B969" s="221" t="s">
        <v>1353</v>
      </c>
      <c r="C969" s="221" t="s">
        <v>1379</v>
      </c>
      <c r="D969" s="221" t="s">
        <v>1368</v>
      </c>
      <c r="E969" s="222">
        <v>45</v>
      </c>
      <c r="F969" s="223">
        <v>0.7</v>
      </c>
      <c r="G969" s="220" t="s">
        <v>1369</v>
      </c>
      <c r="H969" s="221" t="s">
        <v>1370</v>
      </c>
    </row>
    <row customHeight="true" ht="16.071428571428573" r="970">
      <c r="A970" s="220">
        <v>934</v>
      </c>
      <c r="B970" s="221" t="s">
        <v>1374</v>
      </c>
      <c r="C970" s="221" t="s">
        <v>1367</v>
      </c>
      <c r="D970" s="221" t="s">
        <v>1376</v>
      </c>
      <c r="E970" s="222">
        <v>36.3</v>
      </c>
      <c r="F970" s="223">
        <v>0.85</v>
      </c>
      <c r="G970" s="220" t="s">
        <v>1369</v>
      </c>
      <c r="H970" s="221" t="s">
        <v>1370</v>
      </c>
    </row>
    <row customHeight="true" ht="16.071428571428573" r="971">
      <c r="A971" s="220">
        <v>935</v>
      </c>
      <c r="B971" s="221" t="s">
        <v>1371</v>
      </c>
      <c r="C971" s="221" t="s">
        <v>1389</v>
      </c>
      <c r="D971" s="221" t="s">
        <v>1373</v>
      </c>
      <c r="E971" s="222">
        <v>40.8</v>
      </c>
      <c r="F971" s="223">
        <v>2</v>
      </c>
      <c r="G971" s="220" t="s">
        <v>1369</v>
      </c>
      <c r="H971" s="221" t="s">
        <v>1370</v>
      </c>
    </row>
    <row customHeight="true" ht="16.071428571428573" r="972">
      <c r="A972" s="220">
        <v>936</v>
      </c>
      <c r="B972" s="221" t="s">
        <v>1351</v>
      </c>
      <c r="C972" s="221" t="s">
        <v>1379</v>
      </c>
      <c r="D972" s="221" t="s">
        <v>1378</v>
      </c>
      <c r="E972" s="222">
        <v>43.6</v>
      </c>
      <c r="F972" s="223">
        <v>2.05</v>
      </c>
      <c r="G972" s="220" t="s">
        <v>1369</v>
      </c>
      <c r="H972" s="221" t="s">
        <v>1370</v>
      </c>
    </row>
    <row customHeight="true" ht="16.071428571428573" r="973">
      <c r="A973" s="220">
        <v>937</v>
      </c>
      <c r="B973" s="221" t="s">
        <v>1351</v>
      </c>
      <c r="C973" s="221" t="s">
        <v>1383</v>
      </c>
      <c r="D973" s="221" t="s">
        <v>1378</v>
      </c>
      <c r="E973" s="222">
        <v>43.3</v>
      </c>
      <c r="F973" s="223">
        <v>1.54</v>
      </c>
      <c r="G973" s="220" t="s">
        <v>1369</v>
      </c>
      <c r="H973" s="221" t="s">
        <v>1370</v>
      </c>
    </row>
    <row customHeight="true" ht="16.071428571428573" r="974">
      <c r="A974" s="220">
        <v>938</v>
      </c>
      <c r="B974" s="221" t="s">
        <v>1374</v>
      </c>
      <c r="C974" s="221" t="s">
        <v>1375</v>
      </c>
      <c r="D974" s="221" t="s">
        <v>1376</v>
      </c>
      <c r="E974" s="222">
        <v>41.2</v>
      </c>
      <c r="F974" s="223">
        <v>1.53</v>
      </c>
      <c r="G974" s="220" t="s">
        <v>1369</v>
      </c>
      <c r="H974" s="221" t="s">
        <v>1370</v>
      </c>
    </row>
    <row customHeight="true" ht="16.071428571428573" r="975">
      <c r="A975" s="220">
        <v>939</v>
      </c>
      <c r="B975" s="221" t="s">
        <v>1351</v>
      </c>
      <c r="C975" s="221" t="s">
        <v>1386</v>
      </c>
      <c r="D975" s="221" t="s">
        <v>1378</v>
      </c>
      <c r="E975" s="222">
        <v>39.7</v>
      </c>
      <c r="F975" s="223">
        <v>1.75</v>
      </c>
      <c r="G975" s="220" t="s">
        <v>1369</v>
      </c>
      <c r="H975" s="221" t="s">
        <v>1370</v>
      </c>
    </row>
    <row customHeight="true" ht="16.071428571428573" r="976">
      <c r="A976" s="220">
        <v>940</v>
      </c>
      <c r="B976" s="221" t="s">
        <v>1353</v>
      </c>
      <c r="C976" s="221" t="s">
        <v>1389</v>
      </c>
      <c r="D976" s="221" t="s">
        <v>1368</v>
      </c>
      <c r="E976" s="222">
        <v>40.8</v>
      </c>
      <c r="F976" s="223">
        <v>1.94</v>
      </c>
      <c r="G976" s="220" t="s">
        <v>1369</v>
      </c>
      <c r="H976" s="221" t="s">
        <v>1370</v>
      </c>
    </row>
    <row customHeight="true" ht="16.071428571428573" r="977">
      <c r="A977" s="220">
        <v>941</v>
      </c>
      <c r="B977" s="221" t="s">
        <v>1351</v>
      </c>
      <c r="C977" s="221" t="s">
        <v>1367</v>
      </c>
      <c r="D977" s="221" t="s">
        <v>1378</v>
      </c>
      <c r="E977" s="222">
        <v>40.8</v>
      </c>
      <c r="F977" s="223">
        <v>1.53</v>
      </c>
      <c r="G977" s="220" t="s">
        <v>1369</v>
      </c>
      <c r="H977" s="221" t="s">
        <v>1370</v>
      </c>
    </row>
    <row customHeight="true" ht="16.071428571428573" r="978">
      <c r="A978" s="220">
        <v>942</v>
      </c>
      <c r="B978" s="221" t="s">
        <v>1374</v>
      </c>
      <c r="C978" s="221" t="s">
        <v>1379</v>
      </c>
      <c r="D978" s="221" t="s">
        <v>1376</v>
      </c>
      <c r="E978" s="222">
        <v>45.2</v>
      </c>
      <c r="F978" s="223">
        <v>1.96</v>
      </c>
      <c r="G978" s="220" t="s">
        <v>1369</v>
      </c>
      <c r="H978" s="221" t="s">
        <v>1370</v>
      </c>
    </row>
    <row customHeight="true" ht="16.071428571428573" r="979">
      <c r="A979" s="220">
        <v>943</v>
      </c>
      <c r="B979" s="221" t="s">
        <v>1353</v>
      </c>
      <c r="C979" s="221" t="s">
        <v>1385</v>
      </c>
      <c r="D979" s="221" t="s">
        <v>1368</v>
      </c>
      <c r="E979" s="222">
        <v>45.5</v>
      </c>
      <c r="F979" s="223">
        <v>1.91</v>
      </c>
      <c r="G979" s="220" t="s">
        <v>1369</v>
      </c>
      <c r="H979" s="221" t="s">
        <v>1370</v>
      </c>
    </row>
    <row customHeight="true" ht="16.071428571428573" r="980">
      <c r="A980" s="220">
        <v>944</v>
      </c>
      <c r="B980" s="221" t="s">
        <v>1351</v>
      </c>
      <c r="C980" s="221" t="s">
        <v>1367</v>
      </c>
      <c r="D980" s="221" t="s">
        <v>1378</v>
      </c>
      <c r="E980" s="222">
        <v>39.5</v>
      </c>
      <c r="F980" s="223">
        <v>1.39</v>
      </c>
      <c r="G980" s="220" t="s">
        <v>1369</v>
      </c>
      <c r="H980" s="221" t="s">
        <v>1370</v>
      </c>
    </row>
    <row customHeight="true" ht="16.071428571428573" r="981">
      <c r="A981" s="220">
        <v>945</v>
      </c>
      <c r="B981" s="221" t="s">
        <v>1351</v>
      </c>
      <c r="C981" s="221" t="s">
        <v>1383</v>
      </c>
      <c r="D981" s="221" t="s">
        <v>1378</v>
      </c>
      <c r="E981" s="222">
        <v>41.3</v>
      </c>
      <c r="F981" s="223">
        <v>2.06</v>
      </c>
      <c r="G981" s="220" t="s">
        <v>1369</v>
      </c>
      <c r="H981" s="221" t="s">
        <v>1370</v>
      </c>
    </row>
    <row customHeight="true" ht="16.071428571428573" r="982">
      <c r="A982" s="220">
        <v>946</v>
      </c>
      <c r="B982" s="221" t="s">
        <v>1353</v>
      </c>
      <c r="C982" s="221" t="s">
        <v>1375</v>
      </c>
      <c r="D982" s="221" t="s">
        <v>1368</v>
      </c>
      <c r="E982" s="222">
        <v>40.8</v>
      </c>
      <c r="F982" s="223">
        <v>1.48</v>
      </c>
      <c r="G982" s="220" t="s">
        <v>1369</v>
      </c>
      <c r="H982" s="221" t="s">
        <v>1370</v>
      </c>
    </row>
    <row customHeight="true" ht="16.071428571428573" r="983">
      <c r="A983" s="220">
        <v>947</v>
      </c>
      <c r="B983" s="221" t="s">
        <v>1371</v>
      </c>
      <c r="C983" s="221" t="s">
        <v>1388</v>
      </c>
      <c r="D983" s="221" t="s">
        <v>1373</v>
      </c>
      <c r="E983" s="222">
        <v>37.8</v>
      </c>
      <c r="F983" s="223">
        <v>0.59</v>
      </c>
      <c r="G983" s="220" t="s">
        <v>1369</v>
      </c>
      <c r="H983" s="221" t="s">
        <v>1370</v>
      </c>
    </row>
    <row customHeight="true" ht="16.071428571428573" r="984">
      <c r="A984" s="220">
        <v>948</v>
      </c>
      <c r="B984" s="221" t="s">
        <v>1353</v>
      </c>
      <c r="C984" s="221" t="s">
        <v>1367</v>
      </c>
      <c r="D984" s="221" t="s">
        <v>1368</v>
      </c>
      <c r="E984" s="222">
        <v>37.8</v>
      </c>
      <c r="F984" s="223">
        <v>1.91</v>
      </c>
      <c r="G984" s="220" t="s">
        <v>1369</v>
      </c>
      <c r="H984" s="221" t="s">
        <v>1370</v>
      </c>
    </row>
    <row customHeight="true" ht="16.071428571428573" r="985">
      <c r="A985" s="220">
        <v>949</v>
      </c>
      <c r="B985" s="221" t="s">
        <v>1374</v>
      </c>
      <c r="C985" s="221" t="s">
        <v>1383</v>
      </c>
      <c r="D985" s="221" t="s">
        <v>1376</v>
      </c>
      <c r="E985" s="222">
        <v>44.1</v>
      </c>
      <c r="F985" s="223">
        <v>1.72</v>
      </c>
      <c r="G985" s="220" t="s">
        <v>1369</v>
      </c>
      <c r="H985" s="221" t="s">
        <v>1370</v>
      </c>
    </row>
    <row customHeight="true" ht="16.071428571428573" r="986">
      <c r="A986" s="220">
        <v>950</v>
      </c>
      <c r="B986" s="221" t="s">
        <v>1351</v>
      </c>
      <c r="C986" s="221" t="s">
        <v>1386</v>
      </c>
      <c r="D986" s="221" t="s">
        <v>1378</v>
      </c>
      <c r="E986" s="222">
        <v>43.6</v>
      </c>
      <c r="F986" s="223">
        <v>0.79</v>
      </c>
      <c r="G986" s="220" t="s">
        <v>1369</v>
      </c>
      <c r="H986" s="221" t="s">
        <v>1370</v>
      </c>
    </row>
    <row customHeight="true" ht="16.071428571428573" r="987">
      <c r="A987" s="220">
        <v>951</v>
      </c>
      <c r="B987" s="221" t="s">
        <v>1371</v>
      </c>
      <c r="C987" s="221" t="s">
        <v>1384</v>
      </c>
      <c r="D987" s="221" t="s">
        <v>1373</v>
      </c>
      <c r="E987" s="222">
        <v>40.9</v>
      </c>
      <c r="F987" s="223">
        <v>1.72</v>
      </c>
      <c r="G987" s="220" t="s">
        <v>1369</v>
      </c>
      <c r="H987" s="221" t="s">
        <v>1370</v>
      </c>
    </row>
    <row customHeight="true" ht="16.071428571428573" r="988">
      <c r="A988" s="220">
        <v>952</v>
      </c>
      <c r="B988" s="221" t="s">
        <v>1353</v>
      </c>
      <c r="C988" s="221" t="s">
        <v>1385</v>
      </c>
      <c r="D988" s="221" t="s">
        <v>1368</v>
      </c>
      <c r="E988" s="222">
        <v>39.3</v>
      </c>
      <c r="F988" s="223">
        <v>1.95</v>
      </c>
      <c r="G988" s="220" t="s">
        <v>1369</v>
      </c>
      <c r="H988" s="221" t="s">
        <v>1370</v>
      </c>
    </row>
    <row customHeight="true" ht="16.071428571428573" r="989">
      <c r="A989" s="220">
        <v>953</v>
      </c>
      <c r="B989" s="221" t="s">
        <v>1351</v>
      </c>
      <c r="C989" s="221" t="s">
        <v>1385</v>
      </c>
      <c r="D989" s="221" t="s">
        <v>1378</v>
      </c>
      <c r="E989" s="222">
        <v>36.9</v>
      </c>
      <c r="F989" s="223">
        <v>1.52</v>
      </c>
      <c r="G989" s="220" t="s">
        <v>1369</v>
      </c>
      <c r="H989" s="221" t="s">
        <v>1370</v>
      </c>
    </row>
    <row customHeight="true" ht="16.071428571428573" r="990">
      <c r="A990" s="220">
        <v>954</v>
      </c>
      <c r="B990" s="221" t="s">
        <v>1353</v>
      </c>
      <c r="C990" s="221" t="s">
        <v>1389</v>
      </c>
      <c r="D990" s="221" t="s">
        <v>1368</v>
      </c>
      <c r="E990" s="222">
        <v>53.1</v>
      </c>
      <c r="F990" s="223">
        <v>3.79</v>
      </c>
      <c r="G990" s="220" t="s">
        <v>1381</v>
      </c>
      <c r="H990" s="221" t="s">
        <v>1387</v>
      </c>
    </row>
    <row customHeight="true" ht="16.071428571428573" r="991">
      <c r="A991" s="220">
        <v>955</v>
      </c>
      <c r="B991" s="221" t="s">
        <v>1374</v>
      </c>
      <c r="C991" s="221" t="s">
        <v>1379</v>
      </c>
      <c r="D991" s="221" t="s">
        <v>1376</v>
      </c>
      <c r="E991" s="222">
        <v>42</v>
      </c>
      <c r="F991" s="223">
        <v>1.71</v>
      </c>
      <c r="G991" s="220" t="s">
        <v>1369</v>
      </c>
      <c r="H991" s="221" t="s">
        <v>1370</v>
      </c>
    </row>
    <row customHeight="true" ht="16.071428571428573" r="992">
      <c r="A992" s="220">
        <v>956</v>
      </c>
      <c r="B992" s="221" t="s">
        <v>1374</v>
      </c>
      <c r="C992" s="221" t="s">
        <v>1377</v>
      </c>
      <c r="D992" s="221" t="s">
        <v>1376</v>
      </c>
      <c r="E992" s="222">
        <v>43.6</v>
      </c>
      <c r="F992" s="223">
        <v>1.47</v>
      </c>
      <c r="G992" s="220" t="s">
        <v>1369</v>
      </c>
      <c r="H992" s="221" t="s">
        <v>1370</v>
      </c>
    </row>
    <row customHeight="true" ht="16.071428571428573" r="993">
      <c r="A993" s="220">
        <v>957</v>
      </c>
      <c r="B993" s="221" t="s">
        <v>1374</v>
      </c>
      <c r="C993" s="221" t="s">
        <v>1383</v>
      </c>
      <c r="D993" s="221" t="s">
        <v>1376</v>
      </c>
      <c r="E993" s="222">
        <v>44.5</v>
      </c>
      <c r="F993" s="223">
        <v>0.81</v>
      </c>
      <c r="G993" s="220" t="s">
        <v>1369</v>
      </c>
      <c r="H993" s="221" t="s">
        <v>1370</v>
      </c>
    </row>
    <row customHeight="true" ht="16.071428571428573" r="994">
      <c r="A994" s="220">
        <v>958</v>
      </c>
      <c r="B994" s="221" t="s">
        <v>1351</v>
      </c>
      <c r="C994" s="221" t="s">
        <v>1367</v>
      </c>
      <c r="D994" s="221" t="s">
        <v>1378</v>
      </c>
      <c r="E994" s="222">
        <v>45.2</v>
      </c>
      <c r="F994" s="223">
        <v>1.2</v>
      </c>
      <c r="G994" s="220" t="s">
        <v>1369</v>
      </c>
      <c r="H994" s="221" t="s">
        <v>1370</v>
      </c>
    </row>
    <row customHeight="true" ht="16.071428571428573" r="995">
      <c r="A995" s="220">
        <v>959</v>
      </c>
      <c r="B995" s="221" t="s">
        <v>1374</v>
      </c>
      <c r="C995" s="221" t="s">
        <v>1372</v>
      </c>
      <c r="D995" s="221" t="s">
        <v>1376</v>
      </c>
      <c r="E995" s="222">
        <v>37.2</v>
      </c>
      <c r="F995" s="223">
        <v>0.69</v>
      </c>
      <c r="G995" s="220" t="s">
        <v>1369</v>
      </c>
      <c r="H995" s="221" t="s">
        <v>1370</v>
      </c>
    </row>
    <row customHeight="true" ht="16.071428571428573" r="996">
      <c r="A996" s="220">
        <v>960</v>
      </c>
      <c r="B996" s="221" t="s">
        <v>1374</v>
      </c>
      <c r="C996" s="221" t="s">
        <v>1388</v>
      </c>
      <c r="D996" s="221" t="s">
        <v>1376</v>
      </c>
      <c r="E996" s="222">
        <v>36.7</v>
      </c>
      <c r="F996" s="223">
        <v>2.06</v>
      </c>
      <c r="G996" s="220" t="s">
        <v>1369</v>
      </c>
      <c r="H996" s="221" t="s">
        <v>1370</v>
      </c>
    </row>
    <row customHeight="true" ht="16.071428571428573" r="997">
      <c r="A997" s="220">
        <v>961</v>
      </c>
      <c r="B997" s="221" t="s">
        <v>1351</v>
      </c>
      <c r="C997" s="221" t="s">
        <v>1380</v>
      </c>
      <c r="D997" s="221" t="s">
        <v>1378</v>
      </c>
      <c r="E997" s="222">
        <v>45.1</v>
      </c>
      <c r="F997" s="223">
        <v>1.32</v>
      </c>
      <c r="G997" s="220" t="s">
        <v>1369</v>
      </c>
      <c r="H997" s="221" t="s">
        <v>1370</v>
      </c>
    </row>
    <row customHeight="true" ht="16.071428571428573" r="998">
      <c r="A998" s="220">
        <v>962</v>
      </c>
      <c r="B998" s="221" t="s">
        <v>1374</v>
      </c>
      <c r="C998" s="221" t="s">
        <v>1385</v>
      </c>
      <c r="D998" s="221" t="s">
        <v>1376</v>
      </c>
      <c r="E998" s="222">
        <v>37.4</v>
      </c>
      <c r="F998" s="223">
        <v>1.6</v>
      </c>
      <c r="G998" s="220" t="s">
        <v>1369</v>
      </c>
      <c r="H998" s="221" t="s">
        <v>1370</v>
      </c>
    </row>
    <row customHeight="true" ht="16.071428571428573" r="999">
      <c r="A999" s="220">
        <v>963</v>
      </c>
      <c r="B999" s="221" t="s">
        <v>1374</v>
      </c>
      <c r="C999" s="221" t="s">
        <v>1372</v>
      </c>
      <c r="D999" s="221" t="s">
        <v>1376</v>
      </c>
      <c r="E999" s="222">
        <v>38.5</v>
      </c>
      <c r="F999" s="223">
        <v>1.74</v>
      </c>
      <c r="G999" s="220" t="s">
        <v>1369</v>
      </c>
      <c r="H999" s="221" t="s">
        <v>1370</v>
      </c>
    </row>
    <row customHeight="true" ht="16.071428571428573" r="1000">
      <c r="A1000" s="220">
        <v>964</v>
      </c>
      <c r="B1000" s="221" t="s">
        <v>1374</v>
      </c>
      <c r="C1000" s="221" t="s">
        <v>1384</v>
      </c>
      <c r="D1000" s="221" t="s">
        <v>1376</v>
      </c>
      <c r="E1000" s="222">
        <v>44</v>
      </c>
      <c r="F1000" s="223">
        <v>1.76</v>
      </c>
      <c r="G1000" s="220" t="s">
        <v>1369</v>
      </c>
      <c r="H1000" s="221" t="s">
        <v>1370</v>
      </c>
    </row>
    <row customHeight="true" ht="16.071428571428573" r="1001">
      <c r="A1001" s="220">
        <v>965</v>
      </c>
      <c r="B1001" s="221" t="s">
        <v>1353</v>
      </c>
      <c r="C1001" s="221" t="s">
        <v>1372</v>
      </c>
      <c r="D1001" s="221" t="s">
        <v>1368</v>
      </c>
      <c r="E1001" s="222">
        <v>39.7</v>
      </c>
      <c r="F1001" s="223">
        <v>1.05</v>
      </c>
      <c r="G1001" s="220" t="s">
        <v>1369</v>
      </c>
      <c r="H1001" s="221" t="s">
        <v>1370</v>
      </c>
    </row>
    <row customHeight="true" ht="16.071428571428573" r="1002">
      <c r="A1002" s="220">
        <v>966</v>
      </c>
      <c r="B1002" s="221" t="s">
        <v>1353</v>
      </c>
      <c r="C1002" s="221" t="s">
        <v>1386</v>
      </c>
      <c r="D1002" s="221" t="s">
        <v>1368</v>
      </c>
      <c r="E1002" s="222">
        <v>38</v>
      </c>
      <c r="F1002" s="223">
        <v>1.99</v>
      </c>
      <c r="G1002" s="220" t="s">
        <v>1369</v>
      </c>
      <c r="H1002" s="221" t="s">
        <v>1370</v>
      </c>
    </row>
    <row customHeight="true" ht="16.071428571428573" r="1003">
      <c r="A1003" s="220">
        <v>967</v>
      </c>
      <c r="B1003" s="221" t="s">
        <v>1351</v>
      </c>
      <c r="C1003" s="221" t="s">
        <v>1384</v>
      </c>
      <c r="D1003" s="221" t="s">
        <v>1378</v>
      </c>
      <c r="E1003" s="222">
        <v>41.9</v>
      </c>
      <c r="F1003" s="223">
        <v>0.63</v>
      </c>
      <c r="G1003" s="220" t="s">
        <v>1369</v>
      </c>
      <c r="H1003" s="221" t="s">
        <v>1370</v>
      </c>
    </row>
    <row customHeight="true" ht="16.071428571428573" r="1004">
      <c r="A1004" s="220">
        <v>968</v>
      </c>
      <c r="B1004" s="221" t="s">
        <v>1374</v>
      </c>
      <c r="C1004" s="221" t="s">
        <v>1389</v>
      </c>
      <c r="D1004" s="221" t="s">
        <v>1376</v>
      </c>
      <c r="E1004" s="222">
        <v>39.7</v>
      </c>
      <c r="F1004" s="223">
        <v>0.6</v>
      </c>
      <c r="G1004" s="220" t="s">
        <v>1369</v>
      </c>
      <c r="H1004" s="221" t="s">
        <v>1370</v>
      </c>
    </row>
    <row customHeight="true" ht="16.071428571428573" r="1005">
      <c r="A1005" s="220">
        <v>969</v>
      </c>
      <c r="B1005" s="221" t="s">
        <v>1351</v>
      </c>
      <c r="C1005" s="221" t="s">
        <v>1385</v>
      </c>
      <c r="D1005" s="221" t="s">
        <v>1378</v>
      </c>
      <c r="E1005" s="222">
        <v>45.7</v>
      </c>
      <c r="F1005" s="223">
        <v>1.42</v>
      </c>
      <c r="G1005" s="220" t="s">
        <v>1369</v>
      </c>
      <c r="H1005" s="221" t="s">
        <v>1370</v>
      </c>
    </row>
    <row customHeight="true" ht="16.071428571428573" r="1006">
      <c r="A1006" s="220">
        <v>970</v>
      </c>
      <c r="B1006" s="221" t="s">
        <v>1374</v>
      </c>
      <c r="C1006" s="221" t="s">
        <v>1372</v>
      </c>
      <c r="D1006" s="221" t="s">
        <v>1376</v>
      </c>
      <c r="E1006" s="222">
        <v>36.6</v>
      </c>
      <c r="F1006" s="223">
        <v>1.92</v>
      </c>
      <c r="G1006" s="220" t="s">
        <v>1369</v>
      </c>
      <c r="H1006" s="221" t="s">
        <v>1370</v>
      </c>
    </row>
    <row customHeight="true" ht="16.071428571428573" r="1007">
      <c r="A1007" s="220">
        <v>971</v>
      </c>
      <c r="B1007" s="221" t="s">
        <v>1374</v>
      </c>
      <c r="C1007" s="221" t="s">
        <v>1383</v>
      </c>
      <c r="D1007" s="221" t="s">
        <v>1376</v>
      </c>
      <c r="E1007" s="222">
        <v>44.7</v>
      </c>
      <c r="F1007" s="223">
        <v>1.82</v>
      </c>
      <c r="G1007" s="220" t="s">
        <v>1369</v>
      </c>
      <c r="H1007" s="221" t="s">
        <v>1370</v>
      </c>
    </row>
    <row customHeight="true" ht="16.071428571428573" r="1008">
      <c r="A1008" s="220">
        <v>972</v>
      </c>
      <c r="B1008" s="221" t="s">
        <v>1374</v>
      </c>
      <c r="C1008" s="221" t="s">
        <v>1377</v>
      </c>
      <c r="D1008" s="221" t="s">
        <v>1376</v>
      </c>
      <c r="E1008" s="222">
        <v>38.4</v>
      </c>
      <c r="F1008" s="223">
        <v>0.91</v>
      </c>
      <c r="G1008" s="220" t="s">
        <v>1369</v>
      </c>
      <c r="H1008" s="221" t="s">
        <v>1370</v>
      </c>
    </row>
    <row customHeight="true" ht="16.071428571428573" r="1009">
      <c r="A1009" s="220">
        <v>973</v>
      </c>
      <c r="B1009" s="221" t="s">
        <v>1374</v>
      </c>
      <c r="C1009" s="221" t="s">
        <v>1379</v>
      </c>
      <c r="D1009" s="221" t="s">
        <v>1376</v>
      </c>
      <c r="E1009" s="222">
        <v>44.6</v>
      </c>
      <c r="F1009" s="223">
        <v>2.04</v>
      </c>
      <c r="G1009" s="220" t="s">
        <v>1369</v>
      </c>
      <c r="H1009" s="221" t="s">
        <v>1370</v>
      </c>
    </row>
    <row customHeight="true" ht="16.071428571428573" r="1010">
      <c r="A1010" s="220">
        <v>974</v>
      </c>
      <c r="B1010" s="221" t="s">
        <v>1374</v>
      </c>
      <c r="C1010" s="221" t="s">
        <v>1383</v>
      </c>
      <c r="D1010" s="221" t="s">
        <v>1376</v>
      </c>
      <c r="E1010" s="222">
        <v>40.3</v>
      </c>
      <c r="F1010" s="223">
        <v>1.91</v>
      </c>
      <c r="G1010" s="220" t="s">
        <v>1369</v>
      </c>
      <c r="H1010" s="221" t="s">
        <v>1370</v>
      </c>
    </row>
    <row customHeight="true" ht="16.071428571428573" r="1011">
      <c r="A1011" s="220">
        <v>975</v>
      </c>
      <c r="B1011" s="221" t="s">
        <v>1374</v>
      </c>
      <c r="C1011" s="221" t="s">
        <v>1379</v>
      </c>
      <c r="D1011" s="221" t="s">
        <v>1376</v>
      </c>
      <c r="E1011" s="222">
        <v>45.2</v>
      </c>
      <c r="F1011" s="223">
        <v>1.53</v>
      </c>
      <c r="G1011" s="220" t="s">
        <v>1369</v>
      </c>
      <c r="H1011" s="221" t="s">
        <v>1370</v>
      </c>
    </row>
    <row customHeight="true" ht="16.071428571428573" r="1012">
      <c r="A1012" s="220">
        <v>976</v>
      </c>
      <c r="B1012" s="221" t="s">
        <v>1374</v>
      </c>
      <c r="C1012" s="221" t="s">
        <v>1372</v>
      </c>
      <c r="D1012" s="221" t="s">
        <v>1376</v>
      </c>
      <c r="E1012" s="222">
        <v>38.8</v>
      </c>
      <c r="F1012" s="223">
        <v>0.57</v>
      </c>
      <c r="G1012" s="220" t="s">
        <v>1369</v>
      </c>
      <c r="H1012" s="221" t="s">
        <v>1370</v>
      </c>
    </row>
    <row customHeight="true" ht="16.071428571428573" r="1013">
      <c r="A1013" s="220">
        <v>977</v>
      </c>
      <c r="B1013" s="221" t="s">
        <v>1371</v>
      </c>
      <c r="C1013" s="221" t="s">
        <v>1380</v>
      </c>
      <c r="D1013" s="221" t="s">
        <v>1373</v>
      </c>
      <c r="E1013" s="222">
        <v>37</v>
      </c>
      <c r="F1013" s="223">
        <v>1.63</v>
      </c>
      <c r="G1013" s="220" t="s">
        <v>1369</v>
      </c>
      <c r="H1013" s="221" t="s">
        <v>1370</v>
      </c>
    </row>
    <row customHeight="true" ht="16.071428571428573" r="1014">
      <c r="A1014" s="220">
        <v>978</v>
      </c>
      <c r="B1014" s="221" t="s">
        <v>1351</v>
      </c>
      <c r="C1014" s="221" t="s">
        <v>1379</v>
      </c>
      <c r="D1014" s="221" t="s">
        <v>1378</v>
      </c>
      <c r="E1014" s="222">
        <v>39.8</v>
      </c>
      <c r="F1014" s="223">
        <v>0.82</v>
      </c>
      <c r="G1014" s="220" t="s">
        <v>1369</v>
      </c>
      <c r="H1014" s="221" t="s">
        <v>1370</v>
      </c>
    </row>
    <row customHeight="true" ht="16.071428571428573" r="1015">
      <c r="A1015" s="220">
        <v>979</v>
      </c>
      <c r="B1015" s="221" t="s">
        <v>1374</v>
      </c>
      <c r="C1015" s="221" t="s">
        <v>1383</v>
      </c>
      <c r="D1015" s="221" t="s">
        <v>1376</v>
      </c>
      <c r="E1015" s="222">
        <v>43.9</v>
      </c>
      <c r="F1015" s="223">
        <v>0.81</v>
      </c>
      <c r="G1015" s="220" t="s">
        <v>1369</v>
      </c>
      <c r="H1015" s="221" t="s">
        <v>1370</v>
      </c>
    </row>
    <row customHeight="true" ht="16.071428571428573" r="1016">
      <c r="A1016" s="220">
        <v>980</v>
      </c>
      <c r="B1016" s="221" t="s">
        <v>1353</v>
      </c>
      <c r="C1016" s="221" t="s">
        <v>1372</v>
      </c>
      <c r="D1016" s="221" t="s">
        <v>1368</v>
      </c>
      <c r="E1016" s="222">
        <v>37.2</v>
      </c>
      <c r="F1016" s="223">
        <v>1.69</v>
      </c>
      <c r="G1016" s="220" t="s">
        <v>1369</v>
      </c>
      <c r="H1016" s="221" t="s">
        <v>1370</v>
      </c>
    </row>
    <row customHeight="true" ht="16.071428571428573" r="1017">
      <c r="A1017" s="220">
        <v>981</v>
      </c>
      <c r="B1017" s="221" t="s">
        <v>1371</v>
      </c>
      <c r="C1017" s="221" t="s">
        <v>1385</v>
      </c>
      <c r="D1017" s="221" t="s">
        <v>1373</v>
      </c>
      <c r="E1017" s="222">
        <v>44.5</v>
      </c>
      <c r="F1017" s="223">
        <v>1.76</v>
      </c>
      <c r="G1017" s="220" t="s">
        <v>1369</v>
      </c>
      <c r="H1017" s="221" t="s">
        <v>1370</v>
      </c>
    </row>
    <row customHeight="true" ht="16.071428571428573" r="1018">
      <c r="A1018" s="220">
        <v>982</v>
      </c>
      <c r="B1018" s="221" t="s">
        <v>1351</v>
      </c>
      <c r="C1018" s="221" t="s">
        <v>1389</v>
      </c>
      <c r="D1018" s="221" t="s">
        <v>1378</v>
      </c>
      <c r="E1018" s="222">
        <v>42.2</v>
      </c>
      <c r="F1018" s="223">
        <v>0.54</v>
      </c>
      <c r="G1018" s="220" t="s">
        <v>1369</v>
      </c>
      <c r="H1018" s="221" t="s">
        <v>1370</v>
      </c>
    </row>
    <row customHeight="true" ht="16.071428571428573" r="1019">
      <c r="A1019" s="220">
        <v>983</v>
      </c>
      <c r="B1019" s="221" t="s">
        <v>1353</v>
      </c>
      <c r="C1019" s="221" t="s">
        <v>1377</v>
      </c>
      <c r="D1019" s="221" t="s">
        <v>1368</v>
      </c>
      <c r="E1019" s="222">
        <v>39.4</v>
      </c>
      <c r="F1019" s="223">
        <v>1.77</v>
      </c>
      <c r="G1019" s="220" t="s">
        <v>1369</v>
      </c>
      <c r="H1019" s="221" t="s">
        <v>1370</v>
      </c>
    </row>
    <row customHeight="true" ht="16.071428571428573" r="1020">
      <c r="A1020" s="220">
        <v>984</v>
      </c>
      <c r="B1020" s="221" t="s">
        <v>1374</v>
      </c>
      <c r="C1020" s="221" t="s">
        <v>1383</v>
      </c>
      <c r="D1020" s="221" t="s">
        <v>1376</v>
      </c>
      <c r="E1020" s="222">
        <v>42.7</v>
      </c>
      <c r="F1020" s="223">
        <v>1.03</v>
      </c>
      <c r="G1020" s="220" t="s">
        <v>1369</v>
      </c>
      <c r="H1020" s="221" t="s">
        <v>1370</v>
      </c>
    </row>
    <row customHeight="true" ht="16.071428571428573" r="1021">
      <c r="A1021" s="220">
        <v>985</v>
      </c>
      <c r="B1021" s="221" t="s">
        <v>1374</v>
      </c>
      <c r="C1021" s="221" t="s">
        <v>1367</v>
      </c>
      <c r="D1021" s="221" t="s">
        <v>1376</v>
      </c>
      <c r="E1021" s="222">
        <v>38.5</v>
      </c>
      <c r="F1021" s="223">
        <v>1.21</v>
      </c>
      <c r="G1021" s="220" t="s">
        <v>1369</v>
      </c>
      <c r="H1021" s="221" t="s">
        <v>1370</v>
      </c>
    </row>
    <row customHeight="true" ht="16.071428571428573" r="1022">
      <c r="A1022" s="220">
        <v>986</v>
      </c>
      <c r="B1022" s="221" t="s">
        <v>1374</v>
      </c>
      <c r="C1022" s="221" t="s">
        <v>1386</v>
      </c>
      <c r="D1022" s="221" t="s">
        <v>1376</v>
      </c>
      <c r="E1022" s="222">
        <v>45.7</v>
      </c>
      <c r="F1022" s="223">
        <v>1.91</v>
      </c>
      <c r="G1022" s="220" t="s">
        <v>1369</v>
      </c>
      <c r="H1022" s="221" t="s">
        <v>1370</v>
      </c>
    </row>
    <row customHeight="true" ht="16.071428571428573" r="1023">
      <c r="A1023" s="220">
        <v>987</v>
      </c>
      <c r="B1023" s="221" t="s">
        <v>1353</v>
      </c>
      <c r="C1023" s="221" t="s">
        <v>1384</v>
      </c>
      <c r="D1023" s="221" t="s">
        <v>1368</v>
      </c>
      <c r="E1023" s="222">
        <v>45.6</v>
      </c>
      <c r="F1023" s="223">
        <v>1.16</v>
      </c>
      <c r="G1023" s="220" t="s">
        <v>1369</v>
      </c>
      <c r="H1023" s="221" t="s">
        <v>1370</v>
      </c>
    </row>
    <row customHeight="true" ht="16.071428571428573" r="1024">
      <c r="A1024" s="220">
        <v>988</v>
      </c>
      <c r="B1024" s="221" t="s">
        <v>1351</v>
      </c>
      <c r="C1024" s="221" t="s">
        <v>1377</v>
      </c>
      <c r="D1024" s="221" t="s">
        <v>1378</v>
      </c>
      <c r="E1024" s="222">
        <v>36.7</v>
      </c>
      <c r="F1024" s="223">
        <v>1.6</v>
      </c>
      <c r="G1024" s="220" t="s">
        <v>1369</v>
      </c>
      <c r="H1024" s="221" t="s">
        <v>1370</v>
      </c>
    </row>
    <row customHeight="true" ht="16.071428571428573" r="1025">
      <c r="A1025" s="220">
        <v>989</v>
      </c>
      <c r="B1025" s="221" t="s">
        <v>1351</v>
      </c>
      <c r="C1025" s="221" t="s">
        <v>1389</v>
      </c>
      <c r="D1025" s="221" t="s">
        <v>1378</v>
      </c>
      <c r="E1025" s="222">
        <v>40.7</v>
      </c>
      <c r="F1025" s="223">
        <v>0.54</v>
      </c>
      <c r="G1025" s="220" t="s">
        <v>1369</v>
      </c>
      <c r="H1025" s="221" t="s">
        <v>1370</v>
      </c>
    </row>
    <row customHeight="true" ht="16.071428571428573" r="1026">
      <c r="A1026" s="220">
        <v>990</v>
      </c>
      <c r="B1026" s="221" t="s">
        <v>1353</v>
      </c>
      <c r="C1026" s="221" t="s">
        <v>1383</v>
      </c>
      <c r="D1026" s="221" t="s">
        <v>1368</v>
      </c>
      <c r="E1026" s="222">
        <v>40.4</v>
      </c>
      <c r="F1026" s="223">
        <v>2.02</v>
      </c>
      <c r="G1026" s="220" t="s">
        <v>1369</v>
      </c>
      <c r="H1026" s="221" t="s">
        <v>1370</v>
      </c>
    </row>
    <row customHeight="true" ht="16.071428571428573" r="1027">
      <c r="A1027" s="220">
        <v>991</v>
      </c>
      <c r="B1027" s="221" t="s">
        <v>1351</v>
      </c>
      <c r="C1027" s="221" t="s">
        <v>1367</v>
      </c>
      <c r="D1027" s="221" t="s">
        <v>1378</v>
      </c>
      <c r="E1027" s="222">
        <v>42.5</v>
      </c>
      <c r="F1027" s="223">
        <v>1.68</v>
      </c>
      <c r="G1027" s="220" t="s">
        <v>1369</v>
      </c>
      <c r="H1027" s="221" t="s">
        <v>1370</v>
      </c>
    </row>
    <row customHeight="true" ht="16.071428571428573" r="1028">
      <c r="A1028" s="220">
        <v>992</v>
      </c>
      <c r="B1028" s="221" t="s">
        <v>1351</v>
      </c>
      <c r="C1028" s="221" t="s">
        <v>1375</v>
      </c>
      <c r="D1028" s="221" t="s">
        <v>1378</v>
      </c>
      <c r="E1028" s="222">
        <v>37.9</v>
      </c>
      <c r="F1028" s="223">
        <v>1.51</v>
      </c>
      <c r="G1028" s="220" t="s">
        <v>1369</v>
      </c>
      <c r="H1028" s="221" t="s">
        <v>1370</v>
      </c>
    </row>
    <row customHeight="true" ht="16.071428571428573" r="1029">
      <c r="A1029" s="220">
        <v>993</v>
      </c>
      <c r="B1029" s="221" t="s">
        <v>1374</v>
      </c>
      <c r="C1029" s="221" t="s">
        <v>1385</v>
      </c>
      <c r="D1029" s="221" t="s">
        <v>1376</v>
      </c>
      <c r="E1029" s="222">
        <v>42.6</v>
      </c>
      <c r="F1029" s="223">
        <v>0.76</v>
      </c>
      <c r="G1029" s="220" t="s">
        <v>1369</v>
      </c>
      <c r="H1029" s="221" t="s">
        <v>1370</v>
      </c>
    </row>
    <row customHeight="true" ht="16.071428571428573" r="1030">
      <c r="A1030" s="220">
        <v>994</v>
      </c>
      <c r="B1030" s="221" t="s">
        <v>1374</v>
      </c>
      <c r="C1030" s="221" t="s">
        <v>1385</v>
      </c>
      <c r="D1030" s="221" t="s">
        <v>1376</v>
      </c>
      <c r="E1030" s="222">
        <v>42.9</v>
      </c>
      <c r="F1030" s="223">
        <v>2.04</v>
      </c>
      <c r="G1030" s="220" t="s">
        <v>1369</v>
      </c>
      <c r="H1030" s="221" t="s">
        <v>1370</v>
      </c>
    </row>
    <row customHeight="true" ht="16.071428571428573" r="1031">
      <c r="A1031" s="220">
        <v>995</v>
      </c>
      <c r="B1031" s="221" t="s">
        <v>1351</v>
      </c>
      <c r="C1031" s="221" t="s">
        <v>1386</v>
      </c>
      <c r="D1031" s="221" t="s">
        <v>1378</v>
      </c>
      <c r="E1031" s="222">
        <v>44</v>
      </c>
      <c r="F1031" s="223">
        <v>0.92</v>
      </c>
      <c r="G1031" s="220" t="s">
        <v>1369</v>
      </c>
      <c r="H1031" s="221" t="s">
        <v>1370</v>
      </c>
    </row>
    <row customHeight="true" ht="16.071428571428573" r="1032">
      <c r="A1032" s="220">
        <v>996</v>
      </c>
      <c r="B1032" s="221" t="s">
        <v>1353</v>
      </c>
      <c r="C1032" s="221" t="s">
        <v>1367</v>
      </c>
      <c r="D1032" s="221" t="s">
        <v>1368</v>
      </c>
      <c r="E1032" s="222">
        <v>44.6</v>
      </c>
      <c r="F1032" s="223">
        <v>1.06</v>
      </c>
      <c r="G1032" s="220" t="s">
        <v>1369</v>
      </c>
      <c r="H1032" s="221" t="s">
        <v>1370</v>
      </c>
    </row>
    <row customHeight="true" ht="16.071428571428573" r="1033">
      <c r="A1033" s="220">
        <v>997</v>
      </c>
      <c r="B1033" s="221" t="s">
        <v>1374</v>
      </c>
      <c r="C1033" s="221" t="s">
        <v>1385</v>
      </c>
      <c r="D1033" s="221" t="s">
        <v>1376</v>
      </c>
      <c r="E1033" s="222">
        <v>37</v>
      </c>
      <c r="F1033" s="223">
        <v>0.68</v>
      </c>
      <c r="G1033" s="220" t="s">
        <v>1369</v>
      </c>
      <c r="H1033" s="221" t="s">
        <v>1370</v>
      </c>
    </row>
    <row customHeight="true" ht="16.071428571428573" r="1034">
      <c r="A1034" s="220">
        <v>998</v>
      </c>
      <c r="B1034" s="221" t="s">
        <v>1374</v>
      </c>
      <c r="C1034" s="221" t="s">
        <v>1383</v>
      </c>
      <c r="D1034" s="221" t="s">
        <v>1376</v>
      </c>
      <c r="E1034" s="222">
        <v>44.3</v>
      </c>
      <c r="F1034" s="223">
        <v>1.54</v>
      </c>
      <c r="G1034" s="220" t="s">
        <v>1369</v>
      </c>
      <c r="H1034" s="221" t="s">
        <v>1370</v>
      </c>
    </row>
    <row customHeight="true" ht="16.071428571428573" r="1035">
      <c r="A1035" s="220">
        <v>999</v>
      </c>
      <c r="B1035" s="221" t="s">
        <v>1371</v>
      </c>
      <c r="C1035" s="221" t="s">
        <v>1383</v>
      </c>
      <c r="D1035" s="221" t="s">
        <v>1373</v>
      </c>
      <c r="E1035" s="222">
        <v>37.4</v>
      </c>
      <c r="F1035" s="223">
        <v>1.92</v>
      </c>
      <c r="G1035" s="220" t="s">
        <v>1369</v>
      </c>
      <c r="H1035" s="221" t="s">
        <v>1370</v>
      </c>
    </row>
    <row customHeight="true" ht="16.071428571428573" r="1036">
      <c r="A1036" s="220">
        <v>1000</v>
      </c>
      <c r="B1036" s="221" t="s">
        <v>1371</v>
      </c>
      <c r="C1036" s="221" t="s">
        <v>1384</v>
      </c>
      <c r="D1036" s="221" t="s">
        <v>1373</v>
      </c>
      <c r="E1036" s="222">
        <v>38.3</v>
      </c>
      <c r="F1036" s="223">
        <v>1.1</v>
      </c>
      <c r="G1036" s="220" t="s">
        <v>1369</v>
      </c>
      <c r="H1036" s="221" t="s">
        <v>1370</v>
      </c>
    </row>
    <row customHeight="true" ht="15.476190476190476" r="1037">
      <c r="A1037" s="218" t="s">
        <v>1391</v>
      </c>
      <c r="B1037" s="218"/>
      <c r="C1037" s="218"/>
      <c r="D1037" s="218"/>
      <c r="E1037" s="218"/>
      <c r="F1037" s="218"/>
      <c r="G1037" s="218"/>
      <c r="H1037" s="218"/>
    </row>
    <row customHeight="true" ht="15.476190476190476" r="1038">
      <c r="A1038" s="219" t="s">
        <v>1392</v>
      </c>
      <c r="B1038" s="219" t="s">
        <v>1393</v>
      </c>
      <c r="C1038" s="219" t="s">
        <v>1291</v>
      </c>
      <c r="D1038" s="219" t="s">
        <v>1286</v>
      </c>
      <c r="E1038" s="219" t="s">
        <v>1286</v>
      </c>
      <c r="F1038" s="219" t="s">
        <v>1286</v>
      </c>
      <c r="G1038" s="219" t="s">
        <v>1286</v>
      </c>
      <c r="H1038" s="219" t="s">
        <v>1286</v>
      </c>
    </row>
    <row customHeight="true" ht="16.071428571428573" r="1039">
      <c r="A1039" s="221" t="s">
        <v>1394</v>
      </c>
      <c r="B1039" s="221">
        <f>COUNTA(A37:A1036)</f>
      </c>
      <c r="C1039" t="s">
        <v>1395</v>
      </c>
      <c r="D1039" t="s">
        <v>1286</v>
      </c>
      <c r="E1039" t="s">
        <v>1286</v>
      </c>
      <c r="F1039" t="s">
        <v>1286</v>
      </c>
      <c r="G1039" t="s">
        <v>1286</v>
      </c>
      <c r="H1039" t="s">
        <v>1286</v>
      </c>
    </row>
    <row customHeight="true" ht="16.071428571428573" r="1040">
      <c r="A1040" s="221" t="s">
        <v>1396</v>
      </c>
      <c r="B1040" s="221">
        <f>COUNTIF(G37:G1036,"成功")</f>
      </c>
      <c r="C1040" t="s">
        <v>1397</v>
      </c>
      <c r="D1040" t="s">
        <v>1286</v>
      </c>
      <c r="E1040" t="s">
        <v>1286</v>
      </c>
      <c r="F1040" t="s">
        <v>1286</v>
      </c>
      <c r="G1040" t="s">
        <v>1286</v>
      </c>
      <c r="H1040" t="s">
        <v>1286</v>
      </c>
    </row>
    <row customHeight="true" ht="16.071428571428573" r="1041">
      <c r="A1041" s="221" t="s">
        <v>1398</v>
      </c>
      <c r="B1041" s="231">
        <f>COUNTIF(G37:G1036,"成功")/COUNTA(A37:A1036)</f>
      </c>
      <c r="C1041" t="s">
        <v>1397</v>
      </c>
      <c r="D1041" t="s">
        <v>1286</v>
      </c>
      <c r="E1041" t="s">
        <v>1286</v>
      </c>
      <c r="F1041" t="s">
        <v>1286</v>
      </c>
      <c r="G1041" t="s">
        <v>1286</v>
      </c>
      <c r="H1041" t="s">
        <v>1286</v>
      </c>
    </row>
    <row customHeight="true" ht="16.071428571428573" r="1042">
      <c r="A1042" s="221" t="s">
        <v>1399</v>
      </c>
      <c r="B1042" s="222">
        <f>ROUND(AVERAGE(E37:E1036),1)</f>
      </c>
      <c r="C1042" t="s">
        <v>1400</v>
      </c>
      <c r="D1042" t="s">
        <v>1286</v>
      </c>
      <c r="E1042" t="s">
        <v>1286</v>
      </c>
      <c r="F1042" t="s">
        <v>1286</v>
      </c>
      <c r="G1042" t="s">
        <v>1286</v>
      </c>
      <c r="H1042" t="s">
        <v>1286</v>
      </c>
    </row>
    <row customHeight="true" ht="16.071428571428573" r="1043">
      <c r="A1043" s="221" t="s">
        <v>1401</v>
      </c>
      <c r="B1043" s="223">
        <f>ROUND(AVERAGE(F37:F1036),2)</f>
      </c>
      <c r="C1043" t="s">
        <v>1402</v>
      </c>
      <c r="D1043" t="s">
        <v>1286</v>
      </c>
      <c r="E1043" t="s">
        <v>1286</v>
      </c>
      <c r="F1043" t="s">
        <v>1286</v>
      </c>
      <c r="G1043" t="s">
        <v>1286</v>
      </c>
      <c r="H1043" t="s">
        <v>1286</v>
      </c>
    </row>
    <row customHeight="true" ht="16.071428571428573" r="1044">
      <c r="A1044" s="221" t="s">
        <v>1403</v>
      </c>
      <c r="B1044" s="221">
        <f>COUNTIF(G37:G1036,"失败")</f>
      </c>
      <c r="C1044" t="s">
        <v>1404</v>
      </c>
      <c r="D1044" t="s">
        <v>1286</v>
      </c>
      <c r="E1044" t="s">
        <v>1286</v>
      </c>
      <c r="F1044" t="s">
        <v>1286</v>
      </c>
      <c r="G1044" t="s">
        <v>1286</v>
      </c>
      <c r="H1044" t="s">
        <v>1286</v>
      </c>
    </row>
    <row customHeight="true" ht="16.071428571428573" r="1045">
      <c r="A1045" s="221" t="s">
        <v>1405</v>
      </c>
      <c r="B1045" s="221">
        <f>COUNTIF(H37:H1036,"滑落*")</f>
      </c>
      <c r="C1045" t="s">
        <v>1406</v>
      </c>
      <c r="D1045" t="s">
        <v>1286</v>
      </c>
      <c r="E1045" t="s">
        <v>1286</v>
      </c>
      <c r="F1045" t="s">
        <v>1286</v>
      </c>
      <c r="G1045" t="s">
        <v>1286</v>
      </c>
      <c r="H1045" t="s">
        <v>1286</v>
      </c>
    </row>
    <row customHeight="true" ht="16.071428571428573" r="1046">
      <c r="A1046" s="221" t="s">
        <v>1407</v>
      </c>
      <c r="B1046" s="221">
        <f>COUNTIF(H37:H1036,"遮挡*")</f>
      </c>
      <c r="C1046" t="s">
        <v>1406</v>
      </c>
      <c r="D1046" t="s">
        <v>1286</v>
      </c>
      <c r="E1046" t="s">
        <v>1286</v>
      </c>
      <c r="F1046" t="s">
        <v>1286</v>
      </c>
      <c r="G1046" t="s">
        <v>1286</v>
      </c>
      <c r="H1046" t="s">
        <v>1286</v>
      </c>
    </row>
    <row customHeight="true" ht="16.071428571428573" r="1047">
      <c r="A1047" s="221" t="s">
        <v>1408</v>
      </c>
      <c r="B1047" s="221">
        <f>COUNTIF(H37:H1036,"目标位移*")</f>
      </c>
      <c r="C1047" t="s">
        <v>1409</v>
      </c>
      <c r="D1047" t="s">
        <v>1286</v>
      </c>
      <c r="E1047" t="s">
        <v>1286</v>
      </c>
      <c r="F1047" t="s">
        <v>1286</v>
      </c>
      <c r="G1047" t="s">
        <v>1286</v>
      </c>
      <c r="H1047" t="s">
        <v>1286</v>
      </c>
    </row>
  </sheetData>
  <mergeCells>
    <mergeCell ref="A34:H34"/>
    <mergeCell ref="A1037:H1037"/>
  </mergeCells>
  <pageMargins bottom="1" footer="0.5" header="0.5" left="0.75" right="0.75" top="1"/>
  <drawing r:id="rId1"/>
</worksheet>
</file>

<file path=xl/worksheets/sheet1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3" ySplit="2"/>
    </sheetView>
  </sheetViews>
  <sheetFormatPr defaultRowHeight="0"/>
  <cols>
    <col collapsed="false" customWidth="true" hidden="false" max="7" min="7" style="0" width="33.183098591549296"/>
    <col collapsed="false" customWidth="true" hidden="false" max="1" min="1" style="0" width="27.549295774647888"/>
    <col collapsed="false" customWidth="true" hidden="false" max="2" min="2" style="0" width="9.52112676056338"/>
    <col collapsed="false" customWidth="true" hidden="false" max="3" min="3" style="0" width="10.647887323943662"/>
    <col collapsed="false" customWidth="true" hidden="false" max="4" min="4" style="0" width="10.647887323943662"/>
    <col collapsed="false" customWidth="true" hidden="false" max="5" min="5" style="0" width="10.647887323943662"/>
    <col collapsed="false" customWidth="true" hidden="false" max="6" min="6" style="0" width="11.774647887323944"/>
  </cols>
  <sheetData>
    <row customHeight="true" ht="17.857142857142858" r="1">
      <c r="A1" s="232" t="s">
        <v>1410</v>
      </c>
      <c r="B1" s="232"/>
      <c r="C1" s="232"/>
      <c r="D1" s="232"/>
      <c r="E1" s="232"/>
      <c r="F1" s="232"/>
      <c r="G1" s="232"/>
    </row>
    <row customHeight="true" ht="14.285714285714286" r="2">
      <c r="A2" s="233" t="s">
        <v>1411</v>
      </c>
      <c r="B2" s="233"/>
      <c r="C2" s="233"/>
      <c r="D2" s="233"/>
      <c r="E2" s="233"/>
      <c r="F2" s="233"/>
      <c r="G2" s="233"/>
    </row>
    <row customHeight="true" ht="15.476190476190476" r="3">
      <c r="A3" s="234" t="s">
        <v>1412</v>
      </c>
      <c r="B3" s="234"/>
      <c r="C3" s="234"/>
      <c r="D3" s="234"/>
      <c r="E3" s="234"/>
      <c r="F3" s="234"/>
      <c r="G3" s="234"/>
    </row>
    <row customHeight="true" ht="15.476190476190476" r="4">
      <c r="A4" s="235" t="s">
        <v>1413</v>
      </c>
      <c r="B4" s="236" t="s">
        <v>1414</v>
      </c>
      <c r="C4" s="237" t="s">
        <v>1415</v>
      </c>
      <c r="D4" s="235" t="s">
        <v>1416</v>
      </c>
      <c r="E4" s="235" t="s">
        <v>1417</v>
      </c>
      <c r="F4" s="238" t="s">
        <v>1418</v>
      </c>
      <c r="G4" s="239" t="s">
        <v>1419</v>
      </c>
    </row>
    <row r="5">
      <c r="A5" s="240" t="s">
        <v>1420</v>
      </c>
      <c r="B5" s="241">
        <v>0</v>
      </c>
      <c r="C5" s="242">
        <v>0</v>
      </c>
      <c r="D5" s="240">
        <v>0.712</v>
      </c>
      <c r="E5" s="240">
        <v>0.685</v>
      </c>
      <c r="F5" s="241">
        <v>0.8</v>
      </c>
      <c r="G5" s="243" t="s">
        <v>1421</v>
      </c>
    </row>
    <row r="6">
      <c r="A6" s="240" t="s">
        <v>1422</v>
      </c>
      <c r="B6" s="241">
        <v>1.42</v>
      </c>
      <c r="C6" s="242">
        <v>92400</v>
      </c>
      <c r="D6" s="240">
        <v>0.789</v>
      </c>
      <c r="E6" s="240">
        <v>0.769</v>
      </c>
      <c r="F6" s="241">
        <v>4.2</v>
      </c>
      <c r="G6" s="243" t="s">
        <v>1423</v>
      </c>
    </row>
    <row r="7">
      <c r="A7" s="240" t="s">
        <v>1424</v>
      </c>
      <c r="B7" s="241">
        <v>1.42</v>
      </c>
      <c r="C7" s="242">
        <v>54798</v>
      </c>
      <c r="D7" s="240">
        <v>0.85</v>
      </c>
      <c r="E7" s="240">
        <v>0.833</v>
      </c>
      <c r="F7" s="241">
        <v>4.2</v>
      </c>
      <c r="G7" s="243" t="s">
        <v>1425</v>
      </c>
    </row>
    <row r="8">
      <c r="A8" s="240" t="s">
        <v>1426</v>
      </c>
      <c r="B8" s="241">
        <v>1.61</v>
      </c>
      <c r="C8" s="242">
        <v>66300</v>
      </c>
      <c r="D8" s="240">
        <v>0.883</v>
      </c>
      <c r="E8" s="240">
        <v>0.87</v>
      </c>
      <c r="F8" s="241">
        <v>4.4</v>
      </c>
      <c r="G8" s="243" t="s">
        <v>1427</v>
      </c>
    </row>
    <row r="9">
      <c r="A9" s="240" t="s">
        <v>1428</v>
      </c>
      <c r="B9" s="241">
        <v>1.83</v>
      </c>
      <c r="C9" s="242">
        <v>66300</v>
      </c>
      <c r="D9" s="240">
        <v>0.947</v>
      </c>
      <c r="E9" s="240">
        <v>0.972</v>
      </c>
      <c r="F9" s="241">
        <v>4.63</v>
      </c>
      <c r="G9" s="243" t="s">
        <v>1429</v>
      </c>
    </row>
    <row r="10">
      <c r="A10" s="240" t="s">
        <v>1430</v>
      </c>
      <c r="B10" s="244">
        <f>COUNTA(A5:A9)</f>
      </c>
      <c r="C10" s="244" t="s">
        <v>1431</v>
      </c>
      <c r="D10" s="240">
        <f>MAX(D5:D9)</f>
      </c>
      <c r="E10" s="240" t="s">
        <v>1432</v>
      </c>
      <c r="F10" s="240">
        <f>MAX(E5:E9)</f>
      </c>
      <c r="G10" s="243" t="s">
        <v>1433</v>
      </c>
    </row>
    <row customHeight="true" ht="15.476190476190476" r="11">
      <c r="A11" s="245" t="s">
        <v>1434</v>
      </c>
      <c r="B11" s="245"/>
      <c r="C11" s="245"/>
      <c r="D11" s="245"/>
      <c r="E11" s="245"/>
      <c r="F11" s="245"/>
      <c r="G11" s="245"/>
    </row>
    <row customHeight="true" ht="15.476190476190476" r="12">
      <c r="A12" s="246" t="s">
        <v>1413</v>
      </c>
      <c r="B12" s="247" t="s">
        <v>1416</v>
      </c>
      <c r="C12" s="248" t="s">
        <v>1417</v>
      </c>
      <c r="D12" s="246" t="s">
        <v>1435</v>
      </c>
      <c r="E12" s="246" t="s">
        <v>1419</v>
      </c>
      <c r="F12" s="249" t="s">
        <v>1436</v>
      </c>
      <c r="G12" s="250" t="s">
        <v>1436</v>
      </c>
    </row>
    <row r="13">
      <c r="A13" s="240" t="s">
        <v>1437</v>
      </c>
      <c r="B13" s="240">
        <v>0.947</v>
      </c>
      <c r="C13" s="240">
        <v>0.972</v>
      </c>
      <c r="D13" s="240">
        <v>0.92</v>
      </c>
      <c r="E13" s="240" t="s">
        <v>1438</v>
      </c>
      <c r="F13" s="241" t="s">
        <v>1436</v>
      </c>
      <c r="G13" s="243" t="s">
        <v>1436</v>
      </c>
    </row>
    <row r="14">
      <c r="A14" s="240" t="s">
        <v>1439</v>
      </c>
      <c r="B14" s="240">
        <v>0.9</v>
      </c>
      <c r="C14" s="240">
        <v>0.917</v>
      </c>
      <c r="D14" s="240" t="s">
        <v>1440</v>
      </c>
      <c r="E14" s="240" t="s">
        <v>1441</v>
      </c>
      <c r="F14" s="241" t="s">
        <v>1436</v>
      </c>
      <c r="G14" s="243" t="s">
        <v>1436</v>
      </c>
    </row>
    <row r="15">
      <c r="A15" s="240" t="s">
        <v>1442</v>
      </c>
      <c r="B15" s="240">
        <v>0.863</v>
      </c>
      <c r="C15" s="240">
        <v>0.852</v>
      </c>
      <c r="D15" s="240" t="s">
        <v>1440</v>
      </c>
      <c r="E15" s="240" t="s">
        <v>1443</v>
      </c>
      <c r="F15" s="241" t="s">
        <v>1436</v>
      </c>
      <c r="G15" s="243" t="s">
        <v>1436</v>
      </c>
    </row>
    <row r="16">
      <c r="A16" s="240" t="s">
        <v>1444</v>
      </c>
      <c r="B16" s="240">
        <v>0.897</v>
      </c>
      <c r="C16" s="240">
        <v>0.907</v>
      </c>
      <c r="D16" s="240" t="s">
        <v>1440</v>
      </c>
      <c r="E16" s="240" t="s">
        <v>1445</v>
      </c>
      <c r="F16" s="241" t="s">
        <v>1436</v>
      </c>
      <c r="G16" s="243" t="s">
        <v>1436</v>
      </c>
    </row>
    <row r="17">
      <c r="A17" s="240" t="s">
        <v>1446</v>
      </c>
      <c r="B17" s="240">
        <v>0.88</v>
      </c>
      <c r="C17" s="240">
        <v>0.889</v>
      </c>
      <c r="D17" s="240" t="s">
        <v>1440</v>
      </c>
      <c r="E17" s="240" t="s">
        <v>1447</v>
      </c>
      <c r="F17" s="241" t="s">
        <v>1436</v>
      </c>
      <c r="G17" s="243" t="s">
        <v>1436</v>
      </c>
    </row>
    <row r="18">
      <c r="A18" s="240" t="s">
        <v>1448</v>
      </c>
      <c r="B18" s="240">
        <v>0.953</v>
      </c>
      <c r="C18" s="240">
        <v>0.977</v>
      </c>
      <c r="D18" s="240">
        <v>0.926</v>
      </c>
      <c r="E18" s="240" t="s">
        <v>1449</v>
      </c>
      <c r="F18" s="241" t="s">
        <v>1436</v>
      </c>
      <c r="G18" s="243" t="s">
        <v>1436</v>
      </c>
    </row>
    <row r="19">
      <c r="A19" s="240" t="s">
        <v>1450</v>
      </c>
      <c r="B19" s="240">
        <v>0.907</v>
      </c>
      <c r="C19" s="240">
        <v>0.917</v>
      </c>
      <c r="D19" s="240">
        <v>0.88</v>
      </c>
      <c r="E19" s="240" t="s">
        <v>1451</v>
      </c>
      <c r="F19" s="241" t="s">
        <v>1436</v>
      </c>
      <c r="G19" s="243" t="s">
        <v>1436</v>
      </c>
    </row>
    <row r="20">
      <c r="A20" s="240" t="s">
        <v>1452</v>
      </c>
      <c r="B20" s="244">
        <f>COUNTA(A13:A19)</f>
      </c>
      <c r="C20" s="251" t="s">
        <v>1453</v>
      </c>
      <c r="D20" s="251">
        <f>ROUND((C13-MIN(C14:C19))*100,1)</f>
      </c>
      <c r="E20" s="240" t="s">
        <v>1454</v>
      </c>
      <c r="F20" s="241" t="s">
        <v>1455</v>
      </c>
      <c r="G20" s="243" t="s">
        <v>1436</v>
      </c>
    </row>
    <row customHeight="true" ht="15.476190476190476" r="21">
      <c r="A21" s="245" t="s">
        <v>1456</v>
      </c>
      <c r="B21" s="245"/>
      <c r="C21" s="245"/>
      <c r="D21" s="245"/>
      <c r="E21" s="245"/>
      <c r="F21" s="245"/>
      <c r="G21" s="245"/>
    </row>
    <row customHeight="true" ht="15.476190476190476" r="22">
      <c r="A22" s="246" t="s">
        <v>1415</v>
      </c>
      <c r="B22" s="247" t="s">
        <v>1416</v>
      </c>
      <c r="C22" s="248" t="s">
        <v>1457</v>
      </c>
      <c r="D22" s="246" t="s">
        <v>1419</v>
      </c>
      <c r="E22" s="246" t="s">
        <v>1436</v>
      </c>
      <c r="F22" s="249" t="s">
        <v>1436</v>
      </c>
      <c r="G22" s="250" t="s">
        <v>1436</v>
      </c>
    </row>
    <row r="23">
      <c r="A23" s="240">
        <v>500</v>
      </c>
      <c r="B23" s="242">
        <v>0.463</v>
      </c>
      <c r="C23" s="240" t="s">
        <v>1458</v>
      </c>
      <c r="D23" s="240" t="s">
        <v>1459</v>
      </c>
      <c r="E23" s="240" t="s">
        <v>1436</v>
      </c>
      <c r="F23" s="241" t="s">
        <v>1436</v>
      </c>
      <c r="G23" s="243" t="s">
        <v>1436</v>
      </c>
    </row>
    <row r="24">
      <c r="A24" s="240">
        <v>2000</v>
      </c>
      <c r="B24" s="242">
        <v>0.685</v>
      </c>
      <c r="C24" s="240" t="s">
        <v>1460</v>
      </c>
      <c r="D24" s="240" t="s">
        <v>1461</v>
      </c>
      <c r="E24" s="240" t="s">
        <v>1436</v>
      </c>
      <c r="F24" s="241" t="s">
        <v>1436</v>
      </c>
      <c r="G24" s="243" t="s">
        <v>1436</v>
      </c>
    </row>
    <row r="25">
      <c r="A25" s="240">
        <v>8000</v>
      </c>
      <c r="B25" s="242">
        <v>0.843</v>
      </c>
      <c r="C25" s="240" t="s">
        <v>1462</v>
      </c>
      <c r="D25" s="240" t="s">
        <v>1463</v>
      </c>
      <c r="E25" s="240" t="s">
        <v>1436</v>
      </c>
      <c r="F25" s="241" t="s">
        <v>1436</v>
      </c>
      <c r="G25" s="243" t="s">
        <v>1436</v>
      </c>
    </row>
    <row r="26">
      <c r="A26" s="240">
        <v>30000</v>
      </c>
      <c r="B26" s="242">
        <v>0.917</v>
      </c>
      <c r="C26" s="240" t="s">
        <v>1464</v>
      </c>
      <c r="D26" s="240" t="s">
        <v>1465</v>
      </c>
      <c r="E26" s="240" t="s">
        <v>1436</v>
      </c>
      <c r="F26" s="241" t="s">
        <v>1436</v>
      </c>
      <c r="G26" s="243" t="s">
        <v>1436</v>
      </c>
    </row>
    <row r="27">
      <c r="A27" s="240">
        <v>54798</v>
      </c>
      <c r="B27" s="242">
        <v>0.947</v>
      </c>
      <c r="C27" s="240" t="s">
        <v>1466</v>
      </c>
      <c r="D27" s="240" t="s">
        <v>1467</v>
      </c>
      <c r="E27" s="240" t="s">
        <v>1436</v>
      </c>
      <c r="F27" s="241" t="s">
        <v>1436</v>
      </c>
      <c r="G27" s="243" t="s">
        <v>1436</v>
      </c>
    </row>
    <row r="28">
      <c r="A28" s="240" t="s">
        <v>1468</v>
      </c>
      <c r="B28" s="251" t="s">
        <v>1469</v>
      </c>
      <c r="C28" s="242" t="s">
        <v>1470</v>
      </c>
      <c r="D28" s="240" t="s">
        <v>1471</v>
      </c>
      <c r="E28" s="240" t="s">
        <v>1436</v>
      </c>
      <c r="F28" s="241" t="s">
        <v>1436</v>
      </c>
      <c r="G28" s="243" t="s">
        <v>1436</v>
      </c>
    </row>
  </sheetData>
  <mergeCells>
    <mergeCell ref="A1:G1"/>
    <mergeCell ref="A2:G2"/>
    <mergeCell ref="A3:G3"/>
    <mergeCell ref="A11:G11"/>
    <mergeCell ref="A21:G21"/>
  </mergeCells>
  <drawing r:id="rId1"/>
</worksheet>
</file>

<file path=xl/worksheets/sheet1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3" ySplit="2"/>
    </sheetView>
  </sheetViews>
  <sheetFormatPr defaultRowHeight="0"/>
  <cols>
    <col collapsed="false" customWidth="true" hidden="false" max="3" min="3" style="0" width="12.901408450704226"/>
    <col collapsed="false" customWidth="true" hidden="false" max="4" min="4" style="0" width="11.774647887323944"/>
    <col collapsed="false" customWidth="true" hidden="false" max="5" min="5" style="0" width="11.774647887323944"/>
    <col collapsed="false" customWidth="true" hidden="false" max="6" min="6" style="0" width="35.436619718309856"/>
    <col collapsed="false" customWidth="true" hidden="false" max="1" min="1" style="0" width="24.169014084507044"/>
    <col collapsed="false" customWidth="true" hidden="false" max="2" min="2" style="0" width="11.774647887323944"/>
  </cols>
  <sheetData>
    <row customHeight="true" ht="17.857142857142858" r="1">
      <c r="A1" s="252" t="s">
        <v>1472</v>
      </c>
      <c r="B1" s="252"/>
      <c r="C1" s="252"/>
      <c r="D1" s="252"/>
      <c r="E1" s="252"/>
      <c r="F1" s="252"/>
    </row>
    <row customHeight="true" ht="14.285714285714286" r="2">
      <c r="A2" s="253" t="s">
        <v>1473</v>
      </c>
      <c r="B2" s="253"/>
      <c r="C2" s="253"/>
      <c r="D2" s="253"/>
      <c r="E2" s="253"/>
      <c r="F2" s="253"/>
    </row>
    <row customHeight="true" ht="15.476190476190476" r="3">
      <c r="A3" s="254" t="s">
        <v>1474</v>
      </c>
      <c r="B3" s="254"/>
      <c r="C3" s="254"/>
      <c r="D3" s="254"/>
      <c r="E3" s="254"/>
      <c r="F3" s="254"/>
    </row>
    <row customHeight="true" ht="15.476190476190476" r="4">
      <c r="A4" s="255" t="s">
        <v>1475</v>
      </c>
      <c r="B4" s="256" t="s">
        <v>1476</v>
      </c>
      <c r="C4" s="257" t="s">
        <v>1477</v>
      </c>
      <c r="D4" s="258" t="s">
        <v>1478</v>
      </c>
      <c r="E4" s="257" t="s">
        <v>1479</v>
      </c>
      <c r="F4" s="255" t="s">
        <v>1480</v>
      </c>
    </row>
    <row r="5">
      <c r="A5" s="259" t="s">
        <v>1481</v>
      </c>
      <c r="B5" s="260">
        <v>300</v>
      </c>
      <c r="C5" s="261">
        <v>0.943</v>
      </c>
      <c r="D5" s="262">
        <v>0.908</v>
      </c>
      <c r="E5" s="261">
        <v>0.972</v>
      </c>
      <c r="F5" s="259" t="s">
        <v>1482</v>
      </c>
    </row>
    <row r="6">
      <c r="A6" s="259" t="s">
        <v>1483</v>
      </c>
      <c r="B6" s="260">
        <v>120</v>
      </c>
      <c r="C6" s="261">
        <v>0.886</v>
      </c>
      <c r="D6" s="262">
        <v>0.861</v>
      </c>
      <c r="E6" s="261">
        <v>0.908</v>
      </c>
      <c r="F6" s="259" t="s">
        <v>1484</v>
      </c>
    </row>
    <row r="7">
      <c r="A7" s="259" t="s">
        <v>1485</v>
      </c>
      <c r="B7" s="260">
        <v>90</v>
      </c>
      <c r="C7" s="261">
        <v>0.874</v>
      </c>
      <c r="D7" s="262">
        <v>0.842</v>
      </c>
      <c r="E7" s="261">
        <v>0.891</v>
      </c>
      <c r="F7" s="259" t="s">
        <v>1486</v>
      </c>
    </row>
    <row r="8">
      <c r="A8" s="259" t="s">
        <v>1487</v>
      </c>
      <c r="B8" s="260">
        <v>110</v>
      </c>
      <c r="C8" s="261">
        <v>0.921</v>
      </c>
      <c r="D8" s="262">
        <v>0.893</v>
      </c>
      <c r="E8" s="261">
        <v>0.955</v>
      </c>
      <c r="F8" s="259" t="s">
        <v>1488</v>
      </c>
    </row>
    <row r="9">
      <c r="A9" s="259" t="s">
        <v>1489</v>
      </c>
      <c r="B9" s="260">
        <v>80</v>
      </c>
      <c r="C9" s="261">
        <v>0.835</v>
      </c>
      <c r="D9" s="262">
        <v>0.812</v>
      </c>
      <c r="E9" s="261">
        <v>0.844</v>
      </c>
      <c r="F9" s="259" t="s">
        <v>1490</v>
      </c>
    </row>
    <row r="10">
      <c r="A10" s="259" t="s">
        <v>1491</v>
      </c>
      <c r="B10" s="260">
        <v>60</v>
      </c>
      <c r="C10" s="261">
        <v>0.792</v>
      </c>
      <c r="D10" s="262">
        <v>0.774</v>
      </c>
      <c r="E10" s="261">
        <v>0.783</v>
      </c>
      <c r="F10" s="259" t="s">
        <v>1492</v>
      </c>
    </row>
    <row r="11">
      <c r="A11" s="259" t="s">
        <v>1493</v>
      </c>
      <c r="B11" s="260">
        <v>70</v>
      </c>
      <c r="C11" s="261">
        <v>0.889</v>
      </c>
      <c r="D11" s="262">
        <v>0.87</v>
      </c>
      <c r="E11" s="261">
        <v>0.914</v>
      </c>
      <c r="F11" s="259" t="s">
        <v>1494</v>
      </c>
    </row>
    <row r="12">
      <c r="A12" s="259" t="s">
        <v>1495</v>
      </c>
      <c r="B12" s="260">
        <v>50</v>
      </c>
      <c r="C12" s="261">
        <v>0.906</v>
      </c>
      <c r="D12" s="262">
        <v>0.881</v>
      </c>
      <c r="E12" s="261">
        <v>0.93</v>
      </c>
      <c r="F12" s="259" t="s">
        <v>1496</v>
      </c>
    </row>
    <row r="13">
      <c r="A13" s="259" t="s">
        <v>1497</v>
      </c>
      <c r="B13" s="260">
        <f>SUM(B5:B12)</f>
      </c>
      <c r="C13" s="261">
        <f>ROUND(AVERAGE(C5:C12),3)</f>
      </c>
      <c r="D13" s="262">
        <f>ROUND(AVERAGE(D5:D12),3)</f>
      </c>
      <c r="E13" s="261">
        <f>ROUND(AVERAGE(E5:E12),3)</f>
      </c>
      <c r="F13" s="259" t="s">
        <v>1498</v>
      </c>
    </row>
    <row customHeight="true" ht="15.476190476190476" r="14">
      <c r="A14" s="263" t="s">
        <v>1499</v>
      </c>
      <c r="B14" s="263"/>
      <c r="C14" s="263"/>
      <c r="D14" s="263"/>
      <c r="E14" s="263"/>
      <c r="F14" s="263"/>
    </row>
    <row customHeight="true" ht="15.476190476190476" r="15">
      <c r="A15" s="264" t="s">
        <v>1500</v>
      </c>
      <c r="B15" s="265" t="s">
        <v>1501</v>
      </c>
      <c r="C15" s="266" t="s">
        <v>1502</v>
      </c>
      <c r="D15" s="267" t="s">
        <v>1480</v>
      </c>
      <c r="E15" s="266" t="s">
        <v>1503</v>
      </c>
      <c r="F15" s="264" t="s">
        <v>1503</v>
      </c>
    </row>
    <row r="16">
      <c r="A16" s="259" t="s">
        <v>1504</v>
      </c>
      <c r="B16" s="260" t="s">
        <v>1505</v>
      </c>
      <c r="C16" s="261" t="s">
        <v>1506</v>
      </c>
      <c r="D16" s="262" t="s">
        <v>1507</v>
      </c>
      <c r="E16" s="261" t="s">
        <v>1503</v>
      </c>
      <c r="F16" s="259" t="s">
        <v>1503</v>
      </c>
    </row>
    <row r="17">
      <c r="A17" s="259" t="s">
        <v>1508</v>
      </c>
      <c r="B17" s="260" t="s">
        <v>1505</v>
      </c>
      <c r="C17" s="261" t="s">
        <v>1509</v>
      </c>
      <c r="D17" s="262" t="s">
        <v>1510</v>
      </c>
      <c r="E17" s="261" t="s">
        <v>1503</v>
      </c>
      <c r="F17" s="259" t="s">
        <v>1503</v>
      </c>
    </row>
    <row r="18">
      <c r="A18" s="259" t="s">
        <v>1511</v>
      </c>
      <c r="B18" s="260" t="s">
        <v>1512</v>
      </c>
      <c r="C18" s="261" t="s">
        <v>1513</v>
      </c>
      <c r="D18" s="262" t="s">
        <v>1514</v>
      </c>
      <c r="E18" s="261" t="s">
        <v>1503</v>
      </c>
      <c r="F18" s="259" t="s">
        <v>1503</v>
      </c>
    </row>
    <row r="19">
      <c r="A19" s="259" t="s">
        <v>1515</v>
      </c>
      <c r="B19" s="260" t="s">
        <v>1512</v>
      </c>
      <c r="C19" s="261" t="s">
        <v>1516</v>
      </c>
      <c r="D19" s="262" t="s">
        <v>1517</v>
      </c>
      <c r="E19" s="261" t="s">
        <v>1503</v>
      </c>
      <c r="F19" s="259" t="s">
        <v>1503</v>
      </c>
    </row>
    <row customHeight="true" ht="15.476190476190476" r="20">
      <c r="A20" s="263" t="s">
        <v>1518</v>
      </c>
      <c r="B20" s="263"/>
      <c r="C20" s="263"/>
      <c r="D20" s="263"/>
      <c r="E20" s="263"/>
      <c r="F20" s="263"/>
    </row>
    <row r="21">
      <c r="A21" s="259" t="s">
        <v>1519</v>
      </c>
      <c r="B21" s="260" t="s">
        <v>1520</v>
      </c>
      <c r="C21" s="261" t="s">
        <v>1521</v>
      </c>
      <c r="D21" s="262" t="s">
        <v>1502</v>
      </c>
      <c r="E21" s="261" t="s">
        <v>1522</v>
      </c>
      <c r="F21" s="259" t="s">
        <v>1503</v>
      </c>
    </row>
    <row customHeight="true" ht="15.476190476190476" r="22">
      <c r="A22" s="264" t="s">
        <v>1523</v>
      </c>
      <c r="B22" s="265">
        <v>11</v>
      </c>
      <c r="C22" s="266">
        <v>0.011</v>
      </c>
      <c r="D22" s="267" t="s">
        <v>1524</v>
      </c>
      <c r="E22" s="266" t="s">
        <v>1525</v>
      </c>
      <c r="F22" s="264" t="s">
        <v>1503</v>
      </c>
    </row>
    <row r="23">
      <c r="A23" s="259" t="s">
        <v>1526</v>
      </c>
      <c r="B23" s="268">
        <v>10</v>
      </c>
      <c r="C23" s="261">
        <v>0.01</v>
      </c>
      <c r="D23" s="262" t="s">
        <v>1527</v>
      </c>
      <c r="E23" s="261" t="s">
        <v>1525</v>
      </c>
      <c r="F23" s="259" t="s">
        <v>1503</v>
      </c>
    </row>
    <row r="24">
      <c r="A24" s="259" t="s">
        <v>1528</v>
      </c>
      <c r="B24" s="268">
        <v>7</v>
      </c>
      <c r="C24" s="261">
        <v>0.007</v>
      </c>
      <c r="D24" s="262" t="s">
        <v>1529</v>
      </c>
      <c r="E24" s="261" t="s">
        <v>1525</v>
      </c>
      <c r="F24" s="259" t="s">
        <v>1503</v>
      </c>
    </row>
    <row r="25">
      <c r="A25" s="259" t="s">
        <v>1530</v>
      </c>
      <c r="B25" s="268">
        <f>SUM(B23:B25)</f>
      </c>
      <c r="C25" s="261">
        <f>ROUND(SUM(B23:B25)/1000,3)</f>
      </c>
      <c r="D25" s="262" t="s">
        <v>1531</v>
      </c>
      <c r="E25" s="261" t="s">
        <v>1532</v>
      </c>
      <c r="F25" s="259" t="s">
        <v>1503</v>
      </c>
    </row>
    <row r="26">
      <c r="B26" s="269"/>
      <c r="C26" s="270"/>
    </row>
  </sheetData>
  <mergeCells>
    <mergeCell ref="A1:F1"/>
    <mergeCell ref="A2:F2"/>
    <mergeCell ref="A3:F3"/>
    <mergeCell ref="A14:F14"/>
    <mergeCell ref="A20:F20"/>
  </mergeCells>
  <drawing r:id="rId1"/>
</worksheet>
</file>

<file path=xl/worksheets/sheet1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3" ySplit="2"/>
    </sheetView>
  </sheetViews>
  <sheetFormatPr defaultRowHeight="0"/>
  <cols>
    <col collapsed="false" customWidth="true" hidden="false" max="2" min="2" style="0" width="9.52112676056338"/>
    <col collapsed="false" customWidth="true" hidden="false" max="3" min="3" style="0" width="12.901408450704226"/>
    <col collapsed="false" customWidth="true" hidden="false" max="4" min="4" style="0" width="11.774647887323944"/>
    <col collapsed="false" customWidth="true" hidden="false" max="5" min="5" style="0" width="9.52112676056338"/>
    <col collapsed="false" customWidth="true" hidden="false" max="6" min="6" style="0" width="7.267605633802817"/>
    <col collapsed="false" customWidth="true" hidden="false" max="7" min="7" style="0" width="33.183098591549296"/>
    <col collapsed="false" customWidth="true" hidden="false" max="1" min="1" style="0" width="26.422535211267604"/>
  </cols>
  <sheetData>
    <row customHeight="true" ht="17.857142857142858" r="1">
      <c r="A1" s="271" t="s">
        <v>1533</v>
      </c>
      <c r="B1" s="271"/>
      <c r="C1" s="271"/>
      <c r="D1" s="271"/>
      <c r="E1" s="271"/>
      <c r="F1" s="271"/>
      <c r="G1" s="271"/>
      <c r="H1" s="271"/>
    </row>
    <row customHeight="true" ht="14.285714285714286" r="2">
      <c r="A2" s="272" t="s">
        <v>1534</v>
      </c>
      <c r="B2" s="272"/>
      <c r="C2" s="272"/>
      <c r="D2" s="272"/>
      <c r="E2" s="272"/>
      <c r="F2" s="272"/>
      <c r="G2" s="272"/>
      <c r="H2" s="272"/>
    </row>
    <row customHeight="true" ht="15.476190476190476" r="3">
      <c r="A3" s="273" t="s">
        <v>1535</v>
      </c>
      <c r="B3" s="273"/>
      <c r="C3" s="273"/>
      <c r="D3" s="273"/>
      <c r="E3" s="273"/>
      <c r="F3" s="273"/>
      <c r="G3" s="273"/>
      <c r="H3" s="273"/>
    </row>
    <row customHeight="true" ht="15.476190476190476" r="4">
      <c r="A4" s="274" t="s">
        <v>1536</v>
      </c>
      <c r="B4" s="275" t="s">
        <v>1537</v>
      </c>
      <c r="C4" s="276" t="s">
        <v>1538</v>
      </c>
      <c r="D4" s="277" t="s">
        <v>1539</v>
      </c>
      <c r="E4" s="275" t="s">
        <v>1540</v>
      </c>
      <c r="F4" s="275" t="s">
        <v>1541</v>
      </c>
      <c r="G4" s="274" t="s">
        <v>1542</v>
      </c>
      <c r="H4" s="274" t="s">
        <v>1542</v>
      </c>
    </row>
    <row r="5">
      <c r="A5" s="278" t="s">
        <v>1543</v>
      </c>
      <c r="B5" s="279">
        <v>0.62</v>
      </c>
      <c r="C5" s="280">
        <v>312</v>
      </c>
      <c r="D5" s="281">
        <v>45.2</v>
      </c>
      <c r="E5" s="282">
        <v>4</v>
      </c>
      <c r="F5" s="282" t="s">
        <v>1544</v>
      </c>
      <c r="G5" s="278" t="s">
        <v>1542</v>
      </c>
      <c r="H5" s="278" t="s">
        <v>1542</v>
      </c>
    </row>
    <row r="6">
      <c r="A6" s="278" t="s">
        <v>1545</v>
      </c>
      <c r="B6" s="279">
        <v>0.41</v>
      </c>
      <c r="C6" s="280">
        <v>486</v>
      </c>
      <c r="D6" s="281">
        <v>4.63</v>
      </c>
      <c r="E6" s="282">
        <v>2</v>
      </c>
      <c r="F6" s="282" t="s">
        <v>1546</v>
      </c>
      <c r="G6" s="278" t="s">
        <v>1542</v>
      </c>
      <c r="H6" s="278" t="s">
        <v>1542</v>
      </c>
    </row>
    <row r="7">
      <c r="A7" s="278" t="s">
        <v>1547</v>
      </c>
      <c r="B7" s="279">
        <v>0.18</v>
      </c>
      <c r="C7" s="280">
        <v>128</v>
      </c>
      <c r="D7" s="281">
        <v>3.1</v>
      </c>
      <c r="E7" s="282">
        <v>1</v>
      </c>
      <c r="F7" s="282" t="s">
        <v>1548</v>
      </c>
      <c r="G7" s="278" t="s">
        <v>1542</v>
      </c>
      <c r="H7" s="278" t="s">
        <v>1542</v>
      </c>
    </row>
    <row r="8">
      <c r="A8" s="278" t="s">
        <v>1549</v>
      </c>
      <c r="B8" s="279">
        <v>0.09</v>
      </c>
      <c r="C8" s="280">
        <v>96</v>
      </c>
      <c r="D8" s="281">
        <v>2.4</v>
      </c>
      <c r="E8" s="282">
        <v>1</v>
      </c>
      <c r="F8" s="282" t="s">
        <v>1550</v>
      </c>
      <c r="G8" s="278" t="s">
        <v>1542</v>
      </c>
      <c r="H8" s="278" t="s">
        <v>1542</v>
      </c>
    </row>
    <row r="9">
      <c r="A9" s="278" t="s">
        <v>1551</v>
      </c>
      <c r="B9" s="279">
        <v>0.04</v>
      </c>
      <c r="C9" s="280">
        <v>42</v>
      </c>
      <c r="D9" s="281">
        <v>0.9</v>
      </c>
      <c r="E9" s="282">
        <v>1</v>
      </c>
      <c r="F9" s="282" t="s">
        <v>1552</v>
      </c>
      <c r="G9" s="278" t="s">
        <v>1542</v>
      </c>
      <c r="H9" s="278" t="s">
        <v>1542</v>
      </c>
    </row>
    <row r="10">
      <c r="A10" s="278" t="s">
        <v>1553</v>
      </c>
      <c r="B10" s="279">
        <v>0.71</v>
      </c>
      <c r="C10" s="280">
        <v>1240</v>
      </c>
      <c r="D10" s="281" t="s">
        <v>1554</v>
      </c>
      <c r="E10" s="282">
        <v>5</v>
      </c>
      <c r="F10" s="282" t="s">
        <v>1555</v>
      </c>
      <c r="G10" s="278" t="s">
        <v>1542</v>
      </c>
      <c r="H10" s="278" t="s">
        <v>1542</v>
      </c>
    </row>
    <row customHeight="true" ht="15.476190476190476" r="11">
      <c r="A11" s="283" t="s">
        <v>1556</v>
      </c>
      <c r="B11" s="283"/>
      <c r="C11" s="283"/>
      <c r="D11" s="283"/>
      <c r="E11" s="283"/>
      <c r="F11" s="283"/>
      <c r="G11" s="283"/>
      <c r="H11" s="283"/>
    </row>
    <row customHeight="true" ht="15.476190476190476" r="12">
      <c r="A12" s="284" t="s">
        <v>1557</v>
      </c>
      <c r="B12" s="285" t="s">
        <v>1558</v>
      </c>
      <c r="C12" s="286" t="s">
        <v>1559</v>
      </c>
      <c r="D12" s="287" t="s">
        <v>1560</v>
      </c>
      <c r="E12" s="285" t="s">
        <v>1561</v>
      </c>
      <c r="F12" s="285" t="s">
        <v>1562</v>
      </c>
      <c r="G12" s="284" t="s">
        <v>1563</v>
      </c>
      <c r="H12" s="284" t="s">
        <v>1542</v>
      </c>
    </row>
    <row r="13">
      <c r="A13" s="278" t="s">
        <v>1564</v>
      </c>
      <c r="B13" s="282">
        <v>69</v>
      </c>
      <c r="C13" s="280">
        <v>1.18</v>
      </c>
      <c r="D13" s="281">
        <v>38.2</v>
      </c>
      <c r="E13" s="282">
        <v>5.9</v>
      </c>
      <c r="F13" s="282">
        <v>22.1</v>
      </c>
      <c r="G13" s="278" t="s">
        <v>1565</v>
      </c>
      <c r="H13" s="278" t="s">
        <v>1542</v>
      </c>
    </row>
    <row r="14">
      <c r="A14" s="278" t="s">
        <v>1566</v>
      </c>
      <c r="B14" s="288">
        <v>71</v>
      </c>
      <c r="C14" s="281">
        <v>1.2</v>
      </c>
      <c r="D14" s="282">
        <v>44.6</v>
      </c>
      <c r="E14" s="289">
        <v>6.3</v>
      </c>
      <c r="F14" s="282">
        <v>22</v>
      </c>
      <c r="G14" s="278" t="s">
        <v>1565</v>
      </c>
      <c r="H14" s="278" t="s">
        <v>1542</v>
      </c>
    </row>
    <row r="15">
      <c r="A15" s="278" t="s">
        <v>1567</v>
      </c>
      <c r="B15" s="288">
        <v>72</v>
      </c>
      <c r="C15" s="281">
        <v>1.21</v>
      </c>
      <c r="D15" s="282">
        <v>48.1</v>
      </c>
      <c r="E15" s="289">
        <v>6.4</v>
      </c>
      <c r="F15" s="282">
        <v>21.9</v>
      </c>
      <c r="G15" s="278" t="s">
        <v>1565</v>
      </c>
      <c r="H15" s="278" t="s">
        <v>1542</v>
      </c>
    </row>
    <row r="16">
      <c r="A16" s="278" t="s">
        <v>1568</v>
      </c>
      <c r="B16" s="288">
        <v>70</v>
      </c>
      <c r="C16" s="281">
        <v>1.22</v>
      </c>
      <c r="D16" s="282">
        <v>50.3</v>
      </c>
      <c r="E16" s="289">
        <v>6.3</v>
      </c>
      <c r="F16" s="282">
        <v>22.2</v>
      </c>
      <c r="G16" s="278" t="s">
        <v>1565</v>
      </c>
      <c r="H16" s="278" t="s">
        <v>1542</v>
      </c>
    </row>
    <row r="17">
      <c r="A17" s="278" t="s">
        <v>1569</v>
      </c>
      <c r="B17" s="288">
        <v>71</v>
      </c>
      <c r="C17" s="281">
        <v>1.22</v>
      </c>
      <c r="D17" s="282">
        <v>51.2</v>
      </c>
      <c r="E17" s="289">
        <v>6.5</v>
      </c>
      <c r="F17" s="282">
        <v>22</v>
      </c>
      <c r="G17" s="278" t="s">
        <v>1565</v>
      </c>
      <c r="H17" s="278" t="s">
        <v>1542</v>
      </c>
    </row>
    <row r="18">
      <c r="A18" s="278" t="s">
        <v>1570</v>
      </c>
      <c r="B18" s="288">
        <v>72</v>
      </c>
      <c r="C18" s="281">
        <v>1.23</v>
      </c>
      <c r="D18" s="282">
        <v>51.8</v>
      </c>
      <c r="E18" s="289">
        <v>6.4</v>
      </c>
      <c r="F18" s="282">
        <v>22.1</v>
      </c>
      <c r="G18" s="278" t="s">
        <v>1565</v>
      </c>
      <c r="H18" s="278" t="s">
        <v>1542</v>
      </c>
    </row>
    <row r="19">
      <c r="A19" s="278" t="s">
        <v>1571</v>
      </c>
      <c r="B19" s="288">
        <v>70</v>
      </c>
      <c r="C19" s="281">
        <v>1.23</v>
      </c>
      <c r="D19" s="282">
        <v>52.1</v>
      </c>
      <c r="E19" s="289">
        <v>6.5</v>
      </c>
      <c r="F19" s="282">
        <v>21.9</v>
      </c>
      <c r="G19" s="278" t="s">
        <v>1565</v>
      </c>
      <c r="H19" s="278" t="s">
        <v>1542</v>
      </c>
    </row>
    <row r="20">
      <c r="A20" s="278" t="s">
        <v>1572</v>
      </c>
      <c r="B20" s="288">
        <v>71</v>
      </c>
      <c r="C20" s="281">
        <v>1.23</v>
      </c>
      <c r="D20" s="282">
        <v>52.2</v>
      </c>
      <c r="E20" s="289">
        <v>6.5</v>
      </c>
      <c r="F20" s="282">
        <v>22</v>
      </c>
      <c r="G20" s="278" t="s">
        <v>1565</v>
      </c>
      <c r="H20" s="278" t="s">
        <v>1542</v>
      </c>
    </row>
    <row r="21">
      <c r="A21" s="278" t="s">
        <v>1573</v>
      </c>
      <c r="B21" s="288">
        <v>72</v>
      </c>
      <c r="C21" s="281">
        <v>1.24</v>
      </c>
      <c r="D21" s="282">
        <v>52.2</v>
      </c>
      <c r="E21" s="289">
        <v>6.4</v>
      </c>
      <c r="F21" s="282">
        <v>22.1</v>
      </c>
      <c r="G21" s="278" t="s">
        <v>1565</v>
      </c>
      <c r="H21" s="278" t="s">
        <v>1542</v>
      </c>
    </row>
    <row r="22">
      <c r="A22" s="278" t="s">
        <v>1574</v>
      </c>
      <c r="B22" s="288">
        <v>70</v>
      </c>
      <c r="C22" s="281">
        <v>1.24</v>
      </c>
      <c r="D22" s="282">
        <v>52.3</v>
      </c>
      <c r="E22" s="289">
        <v>6.5</v>
      </c>
      <c r="F22" s="282">
        <v>22</v>
      </c>
      <c r="G22" s="278" t="s">
        <v>1565</v>
      </c>
      <c r="H22" s="278" t="s">
        <v>1542</v>
      </c>
    </row>
    <row r="23">
      <c r="A23" s="278" t="s">
        <v>1575</v>
      </c>
      <c r="B23" s="288">
        <v>71</v>
      </c>
      <c r="C23" s="281">
        <v>1.24</v>
      </c>
      <c r="D23" s="282">
        <v>52.3</v>
      </c>
      <c r="E23" s="289">
        <v>6.5</v>
      </c>
      <c r="F23" s="282">
        <v>21.9</v>
      </c>
      <c r="G23" s="278" t="s">
        <v>1565</v>
      </c>
      <c r="H23" s="278" t="s">
        <v>1542</v>
      </c>
    </row>
    <row r="24">
      <c r="A24" s="278" t="s">
        <v>1576</v>
      </c>
      <c r="B24" s="288">
        <v>72</v>
      </c>
      <c r="C24" s="281">
        <v>1.24</v>
      </c>
      <c r="D24" s="282">
        <v>52.3</v>
      </c>
      <c r="E24" s="289">
        <v>6.4</v>
      </c>
      <c r="F24" s="282">
        <v>22.1</v>
      </c>
      <c r="G24" s="278" t="s">
        <v>1565</v>
      </c>
      <c r="H24" s="278" t="s">
        <v>1542</v>
      </c>
    </row>
    <row r="25">
      <c r="A25" s="278" t="s">
        <v>1577</v>
      </c>
      <c r="B25" s="288">
        <v>70</v>
      </c>
      <c r="C25" s="281">
        <v>1.24</v>
      </c>
      <c r="D25" s="282">
        <v>52.3</v>
      </c>
      <c r="E25" s="289">
        <v>6.5</v>
      </c>
      <c r="F25" s="282">
        <v>22</v>
      </c>
      <c r="G25" s="278" t="s">
        <v>1565</v>
      </c>
      <c r="H25" s="278" t="s">
        <v>1542</v>
      </c>
    </row>
    <row r="26">
      <c r="A26" s="278" t="s">
        <v>1578</v>
      </c>
      <c r="B26" s="288">
        <v>71</v>
      </c>
      <c r="C26" s="281">
        <v>1.24</v>
      </c>
      <c r="D26" s="282">
        <v>52.3</v>
      </c>
      <c r="E26" s="289">
        <v>6.4</v>
      </c>
      <c r="F26" s="282">
        <v>22.1</v>
      </c>
      <c r="G26" s="278" t="s">
        <v>1565</v>
      </c>
      <c r="H26" s="278" t="s">
        <v>1542</v>
      </c>
    </row>
    <row r="27">
      <c r="A27" s="278" t="s">
        <v>1579</v>
      </c>
      <c r="B27" s="288">
        <v>72</v>
      </c>
      <c r="C27" s="281">
        <v>1.24</v>
      </c>
      <c r="D27" s="282">
        <v>52.3</v>
      </c>
      <c r="E27" s="289">
        <v>6.5</v>
      </c>
      <c r="F27" s="282">
        <v>22</v>
      </c>
      <c r="G27" s="278" t="s">
        <v>1565</v>
      </c>
      <c r="H27" s="278" t="s">
        <v>1542</v>
      </c>
    </row>
    <row r="28">
      <c r="A28" s="278" t="s">
        <v>1580</v>
      </c>
      <c r="B28" s="288">
        <v>70</v>
      </c>
      <c r="C28" s="281">
        <v>1.24</v>
      </c>
      <c r="D28" s="282">
        <v>52.3</v>
      </c>
      <c r="E28" s="289">
        <v>6.4</v>
      </c>
      <c r="F28" s="282">
        <v>22.1</v>
      </c>
      <c r="G28" s="278" t="s">
        <v>1565</v>
      </c>
      <c r="H28" s="278" t="s">
        <v>1542</v>
      </c>
    </row>
    <row r="29">
      <c r="A29" s="278" t="s">
        <v>1581</v>
      </c>
      <c r="B29" s="288">
        <v>71</v>
      </c>
      <c r="C29" s="281">
        <v>1.24</v>
      </c>
      <c r="D29" s="282">
        <v>52.3</v>
      </c>
      <c r="E29" s="289">
        <v>6.5</v>
      </c>
      <c r="F29" s="282">
        <v>22</v>
      </c>
      <c r="G29" s="278" t="s">
        <v>1565</v>
      </c>
      <c r="H29" s="278" t="s">
        <v>1542</v>
      </c>
    </row>
    <row r="30">
      <c r="A30" s="278" t="s">
        <v>1582</v>
      </c>
      <c r="B30" s="282">
        <f>MAX(D13:D29)</f>
      </c>
      <c r="C30" s="281" t="s">
        <v>1583</v>
      </c>
      <c r="D30" s="282">
        <f>ROUND(MAX(D13:D29)-D13,1)</f>
      </c>
      <c r="E30" s="289" t="s">
        <v>1584</v>
      </c>
      <c r="F30" s="282">
        <f>ROUND(AVERAGE(E13:E29),1)</f>
      </c>
      <c r="G30" s="278" t="s">
        <v>1585</v>
      </c>
      <c r="H30" s="282">
        <f>MIN(F13:F29)</f>
      </c>
    </row>
    <row r="31">
      <c r="A31" s="278" t="s">
        <v>1586</v>
      </c>
      <c r="B31" s="282">
        <v>8</v>
      </c>
      <c r="C31" s="280" t="s">
        <v>1587</v>
      </c>
      <c r="D31" s="281" t="s">
        <v>1588</v>
      </c>
      <c r="E31" s="282" t="s">
        <v>1589</v>
      </c>
      <c r="F31" s="282">
        <v>0</v>
      </c>
      <c r="G31" s="278" t="s">
        <v>1590</v>
      </c>
      <c r="H31" s="278" t="s">
        <v>1591</v>
      </c>
    </row>
    <row customHeight="true" ht="15.476190476190476" r="32">
      <c r="A32" s="283" t="s">
        <v>1592</v>
      </c>
      <c r="B32" s="283"/>
      <c r="C32" s="283"/>
      <c r="D32" s="283"/>
      <c r="E32" s="283"/>
      <c r="F32" s="283"/>
      <c r="G32" s="283"/>
      <c r="H32" s="283"/>
    </row>
    <row customHeight="true" ht="15.476190476190476" r="33">
      <c r="A33" s="284" t="s">
        <v>1593</v>
      </c>
      <c r="B33" s="285" t="s">
        <v>1594</v>
      </c>
      <c r="C33" s="286" t="s">
        <v>1595</v>
      </c>
      <c r="D33" s="287" t="s">
        <v>1541</v>
      </c>
      <c r="E33" s="285" t="s">
        <v>1542</v>
      </c>
      <c r="F33" s="285" t="s">
        <v>1542</v>
      </c>
      <c r="G33" s="284" t="s">
        <v>1542</v>
      </c>
      <c r="H33" s="284" t="s">
        <v>1542</v>
      </c>
    </row>
    <row r="34">
      <c r="A34" s="278" t="s">
        <v>1596</v>
      </c>
      <c r="B34" s="281">
        <v>32</v>
      </c>
      <c r="C34" s="290">
        <v>0.158</v>
      </c>
      <c r="D34" s="281" t="s">
        <v>1597</v>
      </c>
      <c r="E34" s="282" t="s">
        <v>1542</v>
      </c>
      <c r="F34" s="282" t="s">
        <v>1542</v>
      </c>
      <c r="G34" s="278" t="s">
        <v>1542</v>
      </c>
      <c r="H34" s="278" t="s">
        <v>1542</v>
      </c>
    </row>
    <row r="35">
      <c r="A35" s="278" t="s">
        <v>1598</v>
      </c>
      <c r="B35" s="281">
        <v>45.2</v>
      </c>
      <c r="C35" s="290">
        <v>0.223</v>
      </c>
      <c r="D35" s="281" t="s">
        <v>1599</v>
      </c>
      <c r="E35" s="282" t="s">
        <v>1542</v>
      </c>
      <c r="F35" s="282" t="s">
        <v>1542</v>
      </c>
      <c r="G35" s="278" t="s">
        <v>1542</v>
      </c>
      <c r="H35" s="278" t="s">
        <v>1542</v>
      </c>
    </row>
    <row r="36">
      <c r="A36" s="278" t="s">
        <v>1600</v>
      </c>
      <c r="B36" s="281">
        <v>1.1</v>
      </c>
      <c r="C36" s="290">
        <v>0.005</v>
      </c>
      <c r="D36" s="281" t="s">
        <v>1601</v>
      </c>
      <c r="E36" s="282" t="s">
        <v>1542</v>
      </c>
      <c r="F36" s="282" t="s">
        <v>1542</v>
      </c>
      <c r="G36" s="278" t="s">
        <v>1542</v>
      </c>
      <c r="H36" s="278" t="s">
        <v>1542</v>
      </c>
    </row>
    <row r="37">
      <c r="A37" s="278" t="s">
        <v>1602</v>
      </c>
      <c r="B37" s="281">
        <v>4.63</v>
      </c>
      <c r="C37" s="290">
        <v>0.023</v>
      </c>
      <c r="D37" s="281" t="s">
        <v>1603</v>
      </c>
      <c r="E37" s="282" t="s">
        <v>1542</v>
      </c>
      <c r="F37" s="282" t="s">
        <v>1542</v>
      </c>
      <c r="G37" s="278" t="s">
        <v>1542</v>
      </c>
      <c r="H37" s="278" t="s">
        <v>1542</v>
      </c>
    </row>
    <row r="38">
      <c r="A38" s="278" t="s">
        <v>1547</v>
      </c>
      <c r="B38" s="281">
        <v>3.1</v>
      </c>
      <c r="C38" s="290">
        <v>0.015</v>
      </c>
      <c r="D38" s="281" t="s">
        <v>1548</v>
      </c>
      <c r="E38" s="282" t="s">
        <v>1542</v>
      </c>
      <c r="F38" s="282" t="s">
        <v>1542</v>
      </c>
      <c r="G38" s="278" t="s">
        <v>1542</v>
      </c>
      <c r="H38" s="278" t="s">
        <v>1542</v>
      </c>
    </row>
    <row r="39">
      <c r="A39" s="278" t="s">
        <v>1604</v>
      </c>
      <c r="B39" s="281">
        <v>2.4</v>
      </c>
      <c r="C39" s="290">
        <v>0.012</v>
      </c>
      <c r="D39" s="281" t="s">
        <v>1605</v>
      </c>
      <c r="E39" s="282" t="s">
        <v>1542</v>
      </c>
      <c r="F39" s="282" t="s">
        <v>1542</v>
      </c>
      <c r="G39" s="278" t="s">
        <v>1542</v>
      </c>
      <c r="H39" s="278" t="s">
        <v>1542</v>
      </c>
    </row>
    <row r="40">
      <c r="A40" s="278" t="s">
        <v>1606</v>
      </c>
      <c r="B40" s="281">
        <v>0.9</v>
      </c>
      <c r="C40" s="290">
        <v>0.004</v>
      </c>
      <c r="D40" s="281" t="s">
        <v>1607</v>
      </c>
      <c r="E40" s="282" t="s">
        <v>1542</v>
      </c>
      <c r="F40" s="282" t="s">
        <v>1542</v>
      </c>
      <c r="G40" s="278" t="s">
        <v>1542</v>
      </c>
      <c r="H40" s="278" t="s">
        <v>1542</v>
      </c>
    </row>
    <row r="41">
      <c r="A41" s="278" t="s">
        <v>1608</v>
      </c>
      <c r="B41" s="281">
        <v>0</v>
      </c>
      <c r="C41" s="290">
        <v>0</v>
      </c>
      <c r="D41" s="281" t="s">
        <v>1609</v>
      </c>
      <c r="E41" s="282" t="s">
        <v>1542</v>
      </c>
      <c r="F41" s="282" t="s">
        <v>1542</v>
      </c>
      <c r="G41" s="278" t="s">
        <v>1542</v>
      </c>
      <c r="H41" s="278" t="s">
        <v>1542</v>
      </c>
    </row>
    <row r="42">
      <c r="A42" s="278" t="s">
        <v>1610</v>
      </c>
      <c r="B42" s="282">
        <f>ROUND(SUM(B34:B41),1)</f>
      </c>
      <c r="C42" s="291" t="s">
        <v>1611</v>
      </c>
      <c r="D42" s="291">
        <f>ROUND(SUM(B34:B41)/40800,4)</f>
      </c>
      <c r="E42" s="282" t="s">
        <v>1612</v>
      </c>
      <c r="F42" s="282" t="s">
        <v>1613</v>
      </c>
      <c r="G42" s="278" t="s">
        <v>1542</v>
      </c>
      <c r="H42" s="278" t="s">
        <v>1542</v>
      </c>
    </row>
  </sheetData>
  <mergeCells>
    <mergeCell ref="A1:H1"/>
    <mergeCell ref="A2:H2"/>
    <mergeCell ref="A3:H3"/>
    <mergeCell ref="A11:H11"/>
    <mergeCell ref="A32:H32"/>
  </mergeCells>
  <drawing r:id="rId1"/>
</worksheet>
</file>

<file path=xl/worksheets/sheet1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3" ySplit="2"/>
    </sheetView>
  </sheetViews>
  <sheetFormatPr defaultRowHeight="0"/>
  <cols>
    <col collapsed="false" customWidth="true" hidden="false" max="9" min="9" style="0" width="28.676056338028168"/>
    <col collapsed="false" customWidth="true" hidden="false" max="2" min="2" style="0" width="30.929577464788732"/>
    <col collapsed="false" customWidth="true" hidden="false" max="5" min="5" style="0" width="8.394366197183098"/>
    <col collapsed="false" customWidth="true" hidden="false" max="7" min="7" style="0" width="8.394366197183098"/>
    <col collapsed="false" customWidth="true" hidden="false" max="6" min="6" style="0" width="8.394366197183098"/>
    <col collapsed="false" customWidth="true" hidden="false" max="8" min="8" style="0" width="8.394366197183098"/>
    <col collapsed="false" customWidth="true" hidden="false" max="1" min="1" style="0" width="9.52112676056338"/>
    <col collapsed="false" customWidth="true" hidden="false" max="3" min="3" style="0" width="8.394366197183098"/>
    <col collapsed="false" customWidth="true" hidden="false" max="4" min="4" style="0" width="7.267605633802817"/>
  </cols>
  <sheetData>
    <row customHeight="true" ht="17.857142857142858" r="1">
      <c r="A1" s="292" t="s">
        <v>1614</v>
      </c>
      <c r="B1" s="292"/>
      <c r="C1" s="292"/>
      <c r="D1" s="292"/>
      <c r="E1" s="292"/>
      <c r="F1" s="292"/>
      <c r="G1" s="292"/>
      <c r="H1" s="292"/>
      <c r="I1" s="292"/>
    </row>
    <row customHeight="true" ht="14.285714285714286" r="2">
      <c r="A2" s="293" t="s">
        <v>1615</v>
      </c>
      <c r="B2" s="293"/>
      <c r="C2" s="293"/>
      <c r="D2" s="293"/>
      <c r="E2" s="293"/>
      <c r="F2" s="293"/>
      <c r="G2" s="293"/>
      <c r="H2" s="293"/>
      <c r="I2" s="293"/>
    </row>
    <row customHeight="true" ht="15.476190476190476" r="3">
      <c r="A3" s="294" t="s">
        <v>1616</v>
      </c>
      <c r="B3" s="294"/>
      <c r="C3" s="294"/>
      <c r="D3" s="294"/>
      <c r="E3" s="294"/>
      <c r="F3" s="294"/>
      <c r="G3" s="294"/>
      <c r="H3" s="294"/>
      <c r="I3" s="294"/>
    </row>
    <row customHeight="true" ht="15.476190476190476" r="4">
      <c r="A4" s="295" t="s">
        <v>1617</v>
      </c>
      <c r="B4" s="295" t="s">
        <v>1618</v>
      </c>
      <c r="C4" s="295" t="s">
        <v>1619</v>
      </c>
      <c r="D4" s="295" t="s">
        <v>1620</v>
      </c>
      <c r="E4" s="295" t="s">
        <v>1621</v>
      </c>
      <c r="F4" s="295" t="s">
        <v>1622</v>
      </c>
      <c r="G4" s="295" t="s">
        <v>1623</v>
      </c>
      <c r="H4" s="295" t="s">
        <v>1624</v>
      </c>
      <c r="I4" s="295" t="s">
        <v>1625</v>
      </c>
    </row>
    <row r="5">
      <c r="A5" s="296" t="s">
        <v>1626</v>
      </c>
      <c r="B5" s="296" t="s">
        <v>1627</v>
      </c>
      <c r="C5" s="296" t="s">
        <v>1628</v>
      </c>
      <c r="D5" s="296" t="s">
        <v>1629</v>
      </c>
      <c r="E5" s="296" t="s">
        <v>1630</v>
      </c>
      <c r="F5" s="296" t="s">
        <v>1631</v>
      </c>
      <c r="G5" s="296" t="s">
        <v>1632</v>
      </c>
      <c r="H5" s="296" t="s">
        <v>1633</v>
      </c>
      <c r="I5" s="296" t="s">
        <v>1634</v>
      </c>
    </row>
    <row r="6">
      <c r="A6" s="296" t="s">
        <v>1635</v>
      </c>
      <c r="B6" s="296" t="s">
        <v>1636</v>
      </c>
      <c r="C6" s="296" t="s">
        <v>1637</v>
      </c>
      <c r="D6" s="296" t="s">
        <v>1638</v>
      </c>
      <c r="E6" s="296" t="s">
        <v>1639</v>
      </c>
      <c r="F6" s="296" t="s">
        <v>1640</v>
      </c>
      <c r="G6" s="296" t="s">
        <v>1632</v>
      </c>
      <c r="H6" s="296" t="s">
        <v>1641</v>
      </c>
      <c r="I6" s="296" t="s">
        <v>1642</v>
      </c>
    </row>
    <row r="7">
      <c r="A7" s="296" t="s">
        <v>1643</v>
      </c>
      <c r="B7" s="296" t="s">
        <v>1644</v>
      </c>
      <c r="C7" s="296" t="s">
        <v>1645</v>
      </c>
      <c r="D7" s="296" t="s">
        <v>1638</v>
      </c>
      <c r="E7" s="296" t="s">
        <v>1646</v>
      </c>
      <c r="F7" s="296" t="s">
        <v>1647</v>
      </c>
      <c r="G7" s="296" t="s">
        <v>1632</v>
      </c>
      <c r="H7" s="296" t="s">
        <v>1648</v>
      </c>
      <c r="I7" s="296" t="s">
        <v>1649</v>
      </c>
    </row>
    <row r="8">
      <c r="A8" s="296" t="s">
        <v>1650</v>
      </c>
      <c r="B8" s="296" t="s">
        <v>1651</v>
      </c>
      <c r="C8" s="296" t="s">
        <v>1652</v>
      </c>
      <c r="D8" s="296" t="s">
        <v>1638</v>
      </c>
      <c r="E8" s="296" t="s">
        <v>1653</v>
      </c>
      <c r="F8" s="296" t="s">
        <v>1633</v>
      </c>
      <c r="G8" s="296" t="s">
        <v>1632</v>
      </c>
      <c r="H8" s="296" t="s">
        <v>1648</v>
      </c>
      <c r="I8" s="296" t="s">
        <v>1654</v>
      </c>
    </row>
    <row r="9">
      <c r="A9" s="296" t="s">
        <v>1655</v>
      </c>
      <c r="B9" s="296" t="s">
        <v>1656</v>
      </c>
      <c r="C9" s="296" t="s">
        <v>1657</v>
      </c>
      <c r="D9" s="296" t="s">
        <v>1658</v>
      </c>
      <c r="E9" s="296" t="s">
        <v>1659</v>
      </c>
      <c r="F9" s="296" t="s">
        <v>1660</v>
      </c>
      <c r="G9" s="296" t="s">
        <v>1632</v>
      </c>
      <c r="H9" s="296" t="s">
        <v>1648</v>
      </c>
      <c r="I9" s="296" t="s">
        <v>1661</v>
      </c>
    </row>
    <row r="10">
      <c r="A10" s="296" t="s">
        <v>1662</v>
      </c>
      <c r="B10" s="296" t="s">
        <v>1663</v>
      </c>
      <c r="C10" s="296" t="s">
        <v>1664</v>
      </c>
      <c r="D10" s="296" t="s">
        <v>1629</v>
      </c>
      <c r="E10" s="296" t="s">
        <v>1665</v>
      </c>
      <c r="F10" s="296" t="s">
        <v>1666</v>
      </c>
      <c r="G10" s="296" t="s">
        <v>1632</v>
      </c>
      <c r="H10" s="296" t="s">
        <v>1640</v>
      </c>
      <c r="I10" s="296" t="s">
        <v>1667</v>
      </c>
    </row>
    <row r="11">
      <c r="A11" s="296" t="s">
        <v>1668</v>
      </c>
      <c r="B11" s="296" t="s">
        <v>1669</v>
      </c>
      <c r="C11" s="296" t="s">
        <v>1670</v>
      </c>
      <c r="D11" s="296" t="s">
        <v>1658</v>
      </c>
      <c r="E11" s="296" t="s">
        <v>1671</v>
      </c>
      <c r="F11" s="296" t="s">
        <v>1672</v>
      </c>
      <c r="G11" s="296" t="s">
        <v>1673</v>
      </c>
      <c r="H11" s="296" t="s">
        <v>1674</v>
      </c>
      <c r="I11" s="296" t="s">
        <v>1675</v>
      </c>
    </row>
    <row r="12">
      <c r="A12" s="296" t="s">
        <v>1676</v>
      </c>
      <c r="B12" s="296" t="s">
        <v>1677</v>
      </c>
      <c r="C12" s="296" t="s">
        <v>1652</v>
      </c>
      <c r="D12" s="296" t="s">
        <v>1658</v>
      </c>
      <c r="E12" s="296" t="s">
        <v>1678</v>
      </c>
      <c r="F12" s="296" t="s">
        <v>1672</v>
      </c>
      <c r="G12" s="296" t="s">
        <v>1632</v>
      </c>
      <c r="H12" s="296" t="s">
        <v>1648</v>
      </c>
      <c r="I12" s="296" t="s">
        <v>1679</v>
      </c>
    </row>
    <row r="13">
      <c r="A13" s="296" t="s">
        <v>1680</v>
      </c>
      <c r="B13" s="297">
        <f>COUNTA(A5:A12)</f>
      </c>
      <c r="C13" s="296" t="s">
        <v>1632</v>
      </c>
      <c r="D13" s="297">
        <f>COUNTIF(G5:G12,"已修复")</f>
      </c>
      <c r="E13" s="296" t="s">
        <v>1681</v>
      </c>
      <c r="F13" s="298">
        <f>(COUNTIF(G5:G12,"已修复")+COUNTIF(G5:G12,"保持设计"))/COUNTA(A5:A12)</f>
      </c>
      <c r="G13" s="296" t="s">
        <v>1682</v>
      </c>
      <c r="H13" s="297">
        <f>COUNTIF(D5:D12,"高")</f>
      </c>
      <c r="I13" s="296" t="s">
        <v>1683</v>
      </c>
    </row>
    <row customHeight="true" ht="15.476190476190476" r="14">
      <c r="A14" s="299" t="s">
        <v>1684</v>
      </c>
      <c r="B14" s="299"/>
      <c r="C14" s="299"/>
      <c r="D14" s="299"/>
      <c r="E14" s="299"/>
      <c r="F14" s="299"/>
      <c r="G14" s="299"/>
      <c r="H14" s="299"/>
      <c r="I14" s="299"/>
    </row>
    <row customHeight="true" ht="15.476190476190476" r="15">
      <c r="A15" s="300" t="s">
        <v>1685</v>
      </c>
      <c r="B15" s="300" t="s">
        <v>1686</v>
      </c>
      <c r="C15" s="300" t="s">
        <v>1687</v>
      </c>
      <c r="D15" s="300" t="s">
        <v>1688</v>
      </c>
      <c r="E15" s="300" t="s">
        <v>1683</v>
      </c>
      <c r="F15" s="300" t="s">
        <v>1683</v>
      </c>
      <c r="G15" s="300" t="s">
        <v>1683</v>
      </c>
      <c r="H15" s="300" t="s">
        <v>1683</v>
      </c>
      <c r="I15" s="300" t="s">
        <v>1683</v>
      </c>
    </row>
    <row r="16">
      <c r="A16" s="296" t="s">
        <v>1689</v>
      </c>
      <c r="B16" s="296" t="s">
        <v>1690</v>
      </c>
      <c r="C16" s="296" t="s">
        <v>1691</v>
      </c>
      <c r="D16" s="296" t="s">
        <v>1692</v>
      </c>
      <c r="E16" s="296" t="s">
        <v>1683</v>
      </c>
      <c r="F16" s="296" t="s">
        <v>1683</v>
      </c>
      <c r="G16" s="296" t="s">
        <v>1683</v>
      </c>
      <c r="H16" s="296" t="s">
        <v>1683</v>
      </c>
      <c r="I16" s="296" t="s">
        <v>1683</v>
      </c>
    </row>
    <row r="17">
      <c r="A17" s="296" t="s">
        <v>1693</v>
      </c>
      <c r="B17" s="296" t="s">
        <v>1694</v>
      </c>
      <c r="C17" s="296" t="s">
        <v>1695</v>
      </c>
      <c r="D17" s="296" t="s">
        <v>1696</v>
      </c>
      <c r="E17" s="296" t="s">
        <v>1683</v>
      </c>
      <c r="F17" s="296" t="s">
        <v>1683</v>
      </c>
      <c r="G17" s="296" t="s">
        <v>1683</v>
      </c>
      <c r="H17" s="296" t="s">
        <v>1683</v>
      </c>
      <c r="I17" s="296" t="s">
        <v>1683</v>
      </c>
    </row>
    <row r="18">
      <c r="A18" s="296" t="s">
        <v>1697</v>
      </c>
      <c r="B18" s="296" t="s">
        <v>1698</v>
      </c>
      <c r="C18" s="296" t="s">
        <v>1699</v>
      </c>
      <c r="D18" s="296" t="s">
        <v>1700</v>
      </c>
      <c r="E18" s="296" t="s">
        <v>1683</v>
      </c>
      <c r="F18" s="296" t="s">
        <v>1683</v>
      </c>
      <c r="G18" s="296" t="s">
        <v>1683</v>
      </c>
      <c r="H18" s="296" t="s">
        <v>1683</v>
      </c>
      <c r="I18" s="296" t="s">
        <v>1683</v>
      </c>
    </row>
    <row r="19">
      <c r="A19" s="296" t="s">
        <v>1701</v>
      </c>
      <c r="B19" s="296" t="s">
        <v>1702</v>
      </c>
      <c r="C19" s="296" t="s">
        <v>1665</v>
      </c>
      <c r="D19" s="296" t="s">
        <v>1703</v>
      </c>
      <c r="E19" s="296" t="s">
        <v>1683</v>
      </c>
      <c r="F19" s="296" t="s">
        <v>1683</v>
      </c>
      <c r="G19" s="296" t="s">
        <v>1683</v>
      </c>
      <c r="H19" s="296" t="s">
        <v>1683</v>
      </c>
      <c r="I19" s="296" t="s">
        <v>1683</v>
      </c>
    </row>
    <row customHeight="true" ht="15.476190476190476" r="20">
      <c r="A20" s="300" t="s">
        <v>1704</v>
      </c>
      <c r="B20" s="300"/>
      <c r="C20" s="300"/>
      <c r="D20" s="300"/>
      <c r="E20" s="300"/>
      <c r="F20" s="300"/>
      <c r="G20" s="300"/>
      <c r="H20" s="300"/>
      <c r="I20" s="300"/>
    </row>
    <row r="21">
      <c r="A21" s="296" t="s">
        <v>1705</v>
      </c>
      <c r="B21" s="296" t="s">
        <v>1706</v>
      </c>
      <c r="C21" s="296" t="s">
        <v>1707</v>
      </c>
      <c r="D21" s="296" t="s">
        <v>1683</v>
      </c>
      <c r="E21" s="296" t="s">
        <v>1683</v>
      </c>
      <c r="F21" s="296" t="s">
        <v>1683</v>
      </c>
      <c r="G21" s="296" t="s">
        <v>1683</v>
      </c>
      <c r="H21" s="296" t="s">
        <v>1683</v>
      </c>
      <c r="I21" s="296" t="s">
        <v>1683</v>
      </c>
    </row>
    <row r="22">
      <c r="A22" s="296" t="s">
        <v>1708</v>
      </c>
      <c r="B22" s="296" t="s">
        <v>1709</v>
      </c>
      <c r="C22" s="296" t="s">
        <v>1710</v>
      </c>
      <c r="D22" s="296" t="s">
        <v>1683</v>
      </c>
      <c r="E22" s="296" t="s">
        <v>1683</v>
      </c>
      <c r="F22" s="296" t="s">
        <v>1683</v>
      </c>
      <c r="G22" s="296" t="s">
        <v>1683</v>
      </c>
      <c r="H22" s="296" t="s">
        <v>1683</v>
      </c>
      <c r="I22" s="296" t="s">
        <v>1683</v>
      </c>
    </row>
    <row r="23">
      <c r="A23" s="296" t="s">
        <v>1711</v>
      </c>
      <c r="B23" s="296" t="s">
        <v>1712</v>
      </c>
      <c r="C23" s="296" t="s">
        <v>1713</v>
      </c>
      <c r="D23" s="296" t="s">
        <v>1683</v>
      </c>
      <c r="E23" s="296" t="s">
        <v>1683</v>
      </c>
      <c r="F23" s="296" t="s">
        <v>1683</v>
      </c>
      <c r="G23" s="296" t="s">
        <v>1683</v>
      </c>
      <c r="H23" s="296" t="s">
        <v>1683</v>
      </c>
      <c r="I23" s="296" t="s">
        <v>1683</v>
      </c>
    </row>
    <row r="24">
      <c r="A24" s="296" t="s">
        <v>1714</v>
      </c>
      <c r="B24" s="296" t="s">
        <v>1715</v>
      </c>
      <c r="C24" s="296" t="s">
        <v>1716</v>
      </c>
      <c r="D24" s="296" t="s">
        <v>1683</v>
      </c>
      <c r="E24" s="296" t="s">
        <v>1683</v>
      </c>
      <c r="F24" s="296" t="s">
        <v>1683</v>
      </c>
      <c r="G24" s="296" t="s">
        <v>1683</v>
      </c>
      <c r="H24" s="296" t="s">
        <v>1683</v>
      </c>
      <c r="I24" s="296" t="s">
        <v>1683</v>
      </c>
    </row>
    <row r="25">
      <c r="A25" s="296" t="s">
        <v>1717</v>
      </c>
      <c r="B25" s="296" t="s">
        <v>1718</v>
      </c>
      <c r="C25" s="296" t="s">
        <v>1719</v>
      </c>
      <c r="D25" s="296" t="s">
        <v>1683</v>
      </c>
      <c r="E25" s="296" t="s">
        <v>1683</v>
      </c>
      <c r="F25" s="296" t="s">
        <v>1683</v>
      </c>
      <c r="G25" s="296" t="s">
        <v>1683</v>
      </c>
      <c r="H25" s="296" t="s">
        <v>1683</v>
      </c>
      <c r="I25" s="296" t="s">
        <v>1683</v>
      </c>
    </row>
  </sheetData>
  <mergeCells>
    <mergeCell ref="A1:I1"/>
    <mergeCell ref="A2:I2"/>
    <mergeCell ref="A3:I3"/>
    <mergeCell ref="A14:I14"/>
    <mergeCell ref="A20:I20"/>
  </mergeCells>
  <drawing r:id="rId1"/>
</worksheet>
</file>

<file path=xl/worksheets/sheet18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3" ySplit="2"/>
    </sheetView>
  </sheetViews>
  <sheetFormatPr defaultRowHeight="0"/>
  <cols>
    <col collapsed="false" customWidth="true" hidden="false" max="8" min="8" style="0" width="21.91549295774648"/>
    <col collapsed="false" customWidth="true" hidden="false" max="2" min="2" style="0" width="10.647887323943662"/>
    <col collapsed="false" customWidth="true" hidden="false" max="4" min="4" style="0" width="35.436619718309856"/>
    <col collapsed="false" customWidth="true" hidden="false" max="6" min="6" style="0" width="10.647887323943662"/>
    <col collapsed="false" customWidth="true" hidden="false" max="7" min="7" style="0" width="6.140845070422535"/>
    <col collapsed="false" customWidth="true" hidden="false" max="1" min="1" style="0" width="9.52112676056338"/>
    <col collapsed="false" customWidth="true" hidden="false" max="3" min="3" style="0" width="9.52112676056338"/>
    <col collapsed="false" customWidth="true" hidden="false" max="5" min="5" style="0" width="9.52112676056338"/>
  </cols>
  <sheetData>
    <row customHeight="true" ht="17.857142857142858" r="1">
      <c r="A1" s="301" t="s">
        <v>1720</v>
      </c>
      <c r="B1" s="301"/>
      <c r="C1" s="301"/>
      <c r="D1" s="301"/>
      <c r="E1" s="301"/>
      <c r="F1" s="301"/>
      <c r="G1" s="301"/>
      <c r="H1" s="301"/>
    </row>
    <row customHeight="true" ht="14.285714285714286" r="2">
      <c r="A2" s="302" t="s">
        <v>1721</v>
      </c>
      <c r="B2" s="302"/>
      <c r="C2" s="302"/>
      <c r="D2" s="302"/>
      <c r="E2" s="302"/>
      <c r="F2" s="302"/>
      <c r="G2" s="302"/>
      <c r="H2" s="302"/>
    </row>
    <row customHeight="true" ht="15.476190476190476" r="3">
      <c r="A3" s="303" t="s">
        <v>1722</v>
      </c>
      <c r="B3" s="303"/>
      <c r="C3" s="303"/>
      <c r="D3" s="303"/>
      <c r="E3" s="303"/>
      <c r="F3" s="303"/>
      <c r="G3" s="303"/>
      <c r="H3" s="303"/>
    </row>
    <row customHeight="true" ht="15.476190476190476" r="4">
      <c r="A4" s="304" t="s">
        <v>1723</v>
      </c>
      <c r="B4" s="304" t="s">
        <v>1724</v>
      </c>
      <c r="C4" s="304" t="s">
        <v>1725</v>
      </c>
      <c r="D4" s="304" t="s">
        <v>1726</v>
      </c>
      <c r="E4" s="304" t="s">
        <v>1727</v>
      </c>
      <c r="F4" s="305" t="s">
        <v>1728</v>
      </c>
      <c r="G4" s="304" t="s">
        <v>1729</v>
      </c>
      <c r="H4" s="304" t="s">
        <v>1729</v>
      </c>
    </row>
    <row r="5">
      <c r="A5" s="306" t="s">
        <v>1730</v>
      </c>
      <c r="B5" s="306" t="s">
        <v>1731</v>
      </c>
      <c r="C5" s="306" t="s">
        <v>1732</v>
      </c>
      <c r="D5" s="306" t="s">
        <v>1733</v>
      </c>
      <c r="E5" s="307" t="s">
        <v>1734</v>
      </c>
      <c r="F5" s="308">
        <v>0.41</v>
      </c>
      <c r="G5" s="306" t="s">
        <v>1729</v>
      </c>
      <c r="H5" s="306" t="s">
        <v>1729</v>
      </c>
    </row>
    <row r="6">
      <c r="A6" s="306" t="s">
        <v>1735</v>
      </c>
      <c r="B6" s="306" t="s">
        <v>1736</v>
      </c>
      <c r="C6" s="306" t="s">
        <v>1737</v>
      </c>
      <c r="D6" s="306" t="s">
        <v>1738</v>
      </c>
      <c r="E6" s="307">
        <v>60</v>
      </c>
      <c r="F6" s="308">
        <v>0.685</v>
      </c>
      <c r="G6" s="306" t="s">
        <v>1729</v>
      </c>
      <c r="H6" s="306" t="s">
        <v>1729</v>
      </c>
    </row>
    <row r="7">
      <c r="A7" s="306" t="s">
        <v>1739</v>
      </c>
      <c r="B7" s="306" t="s">
        <v>1740</v>
      </c>
      <c r="C7" s="306" t="s">
        <v>1741</v>
      </c>
      <c r="D7" s="306" t="s">
        <v>1742</v>
      </c>
      <c r="E7" s="307">
        <v>80</v>
      </c>
      <c r="F7" s="308">
        <v>0.769</v>
      </c>
      <c r="G7" s="306" t="s">
        <v>1729</v>
      </c>
      <c r="H7" s="306" t="s">
        <v>1729</v>
      </c>
    </row>
    <row r="8">
      <c r="A8" s="306" t="s">
        <v>1743</v>
      </c>
      <c r="B8" s="306" t="s">
        <v>1744</v>
      </c>
      <c r="C8" s="306" t="s">
        <v>1745</v>
      </c>
      <c r="D8" s="306" t="s">
        <v>1746</v>
      </c>
      <c r="E8" s="307">
        <v>95</v>
      </c>
      <c r="F8" s="308">
        <v>0.815</v>
      </c>
      <c r="G8" s="306" t="s">
        <v>1729</v>
      </c>
      <c r="H8" s="306" t="s">
        <v>1729</v>
      </c>
    </row>
    <row r="9">
      <c r="A9" s="306" t="s">
        <v>1747</v>
      </c>
      <c r="B9" s="306" t="s">
        <v>1748</v>
      </c>
      <c r="C9" s="306" t="s">
        <v>1749</v>
      </c>
      <c r="D9" s="306" t="s">
        <v>1750</v>
      </c>
      <c r="E9" s="307">
        <v>120</v>
      </c>
      <c r="F9" s="308">
        <v>0.852</v>
      </c>
      <c r="G9" s="306" t="s">
        <v>1729</v>
      </c>
      <c r="H9" s="306" t="s">
        <v>1729</v>
      </c>
    </row>
    <row r="10">
      <c r="A10" s="306" t="s">
        <v>1751</v>
      </c>
      <c r="B10" s="306" t="s">
        <v>1752</v>
      </c>
      <c r="C10" s="306" t="s">
        <v>1753</v>
      </c>
      <c r="D10" s="306" t="s">
        <v>1754</v>
      </c>
      <c r="E10" s="307">
        <v>145</v>
      </c>
      <c r="F10" s="308">
        <v>0.907</v>
      </c>
      <c r="G10" s="306" t="s">
        <v>1729</v>
      </c>
      <c r="H10" s="306" t="s">
        <v>1729</v>
      </c>
    </row>
    <row r="11">
      <c r="A11" s="306" t="s">
        <v>1755</v>
      </c>
      <c r="B11" s="306" t="s">
        <v>1756</v>
      </c>
      <c r="C11" s="306" t="s">
        <v>1757</v>
      </c>
      <c r="D11" s="306" t="s">
        <v>1758</v>
      </c>
      <c r="E11" s="307">
        <v>175</v>
      </c>
      <c r="F11" s="308">
        <v>0.944</v>
      </c>
      <c r="G11" s="306" t="s">
        <v>1729</v>
      </c>
      <c r="H11" s="306" t="s">
        <v>1729</v>
      </c>
    </row>
    <row r="12">
      <c r="A12" s="306" t="s">
        <v>1759</v>
      </c>
      <c r="B12" s="306" t="s">
        <v>1760</v>
      </c>
      <c r="C12" s="306" t="s">
        <v>1761</v>
      </c>
      <c r="D12" s="306" t="s">
        <v>1762</v>
      </c>
      <c r="E12" s="307">
        <v>233</v>
      </c>
      <c r="F12" s="308">
        <v>0.972</v>
      </c>
      <c r="G12" s="306" t="s">
        <v>1729</v>
      </c>
      <c r="H12" s="306" t="s">
        <v>1729</v>
      </c>
    </row>
    <row r="13">
      <c r="A13" s="306" t="s">
        <v>1763</v>
      </c>
      <c r="B13" s="306">
        <f>COUNTA(A5:A12)</f>
      </c>
      <c r="C13" s="306" t="s">
        <v>1764</v>
      </c>
      <c r="D13" s="306" t="s">
        <v>1765</v>
      </c>
      <c r="E13" s="306" t="s">
        <v>1766</v>
      </c>
      <c r="F13" s="309">
        <f>ROUND((F12-F5)*100,1)</f>
      </c>
      <c r="G13" s="306" t="s">
        <v>1767</v>
      </c>
      <c r="H13" s="306" t="s">
        <v>1768</v>
      </c>
    </row>
    <row customHeight="true" ht="15.476190476190476" r="14">
      <c r="A14" s="310" t="s">
        <v>1769</v>
      </c>
      <c r="B14" s="310"/>
      <c r="C14" s="310"/>
      <c r="D14" s="310"/>
      <c r="E14" s="310"/>
      <c r="F14" s="310"/>
      <c r="G14" s="310"/>
      <c r="H14" s="310"/>
    </row>
    <row r="15">
      <c r="A15" s="306" t="s">
        <v>1770</v>
      </c>
      <c r="B15" s="306" t="s">
        <v>1771</v>
      </c>
      <c r="C15" s="306" t="s">
        <v>1772</v>
      </c>
      <c r="D15" s="306" t="s">
        <v>1773</v>
      </c>
      <c r="E15" s="306" t="s">
        <v>1729</v>
      </c>
      <c r="F15" s="308" t="s">
        <v>1729</v>
      </c>
      <c r="G15" s="306" t="s">
        <v>1729</v>
      </c>
      <c r="H15" s="306" t="s">
        <v>1729</v>
      </c>
    </row>
    <row r="16">
      <c r="A16" s="306" t="s">
        <v>1774</v>
      </c>
      <c r="B16" s="306" t="s">
        <v>1775</v>
      </c>
      <c r="C16" s="306" t="s">
        <v>1776</v>
      </c>
      <c r="D16" s="306" t="s">
        <v>1777</v>
      </c>
      <c r="E16" s="306" t="s">
        <v>1729</v>
      </c>
      <c r="F16" s="308" t="s">
        <v>1729</v>
      </c>
      <c r="G16" s="306" t="s">
        <v>1729</v>
      </c>
      <c r="H16" s="306" t="s">
        <v>1729</v>
      </c>
    </row>
    <row r="17">
      <c r="A17" s="306" t="s">
        <v>1778</v>
      </c>
      <c r="B17" s="306" t="s">
        <v>1779</v>
      </c>
      <c r="C17" s="306" t="s">
        <v>1780</v>
      </c>
      <c r="D17" s="306" t="s">
        <v>1781</v>
      </c>
      <c r="E17" s="306" t="s">
        <v>1729</v>
      </c>
      <c r="F17" s="308" t="s">
        <v>1729</v>
      </c>
      <c r="G17" s="306" t="s">
        <v>1729</v>
      </c>
      <c r="H17" s="306" t="s">
        <v>1729</v>
      </c>
    </row>
    <row r="18">
      <c r="A18" s="306" t="s">
        <v>1782</v>
      </c>
      <c r="B18" s="306" t="s">
        <v>1783</v>
      </c>
      <c r="C18" s="306" t="s">
        <v>1784</v>
      </c>
      <c r="D18" s="306" t="s">
        <v>1785</v>
      </c>
      <c r="E18" s="306" t="s">
        <v>1729</v>
      </c>
      <c r="F18" s="308" t="s">
        <v>1729</v>
      </c>
      <c r="G18" s="306" t="s">
        <v>1729</v>
      </c>
      <c r="H18" s="306" t="s">
        <v>1729</v>
      </c>
    </row>
    <row r="19">
      <c r="A19" s="306" t="s">
        <v>1786</v>
      </c>
      <c r="B19" s="306" t="s">
        <v>1787</v>
      </c>
      <c r="C19" s="306" t="s">
        <v>1788</v>
      </c>
      <c r="D19" s="306" t="s">
        <v>1789</v>
      </c>
      <c r="E19" s="306" t="s">
        <v>1729</v>
      </c>
      <c r="F19" s="308" t="s">
        <v>1729</v>
      </c>
      <c r="G19" s="306" t="s">
        <v>1729</v>
      </c>
      <c r="H19" s="306" t="s">
        <v>1729</v>
      </c>
    </row>
    <row r="20">
      <c r="A20" s="306" t="s">
        <v>1790</v>
      </c>
      <c r="B20" s="306" t="s">
        <v>1791</v>
      </c>
      <c r="C20" s="306" t="s">
        <v>1792</v>
      </c>
      <c r="D20" s="306" t="s">
        <v>1793</v>
      </c>
      <c r="E20" s="306" t="s">
        <v>1729</v>
      </c>
      <c r="F20" s="308" t="s">
        <v>1729</v>
      </c>
      <c r="G20" s="306" t="s">
        <v>1729</v>
      </c>
      <c r="H20" s="306" t="s">
        <v>1729</v>
      </c>
    </row>
    <row r="21">
      <c r="A21" s="306" t="s">
        <v>1794</v>
      </c>
      <c r="B21" s="306" t="s">
        <v>1795</v>
      </c>
      <c r="C21" s="306" t="s">
        <v>1796</v>
      </c>
      <c r="D21" s="306" t="s">
        <v>1797</v>
      </c>
      <c r="E21" s="306" t="s">
        <v>1729</v>
      </c>
      <c r="F21" s="308" t="s">
        <v>1729</v>
      </c>
      <c r="G21" s="306" t="s">
        <v>1729</v>
      </c>
      <c r="H21" s="306" t="s">
        <v>1729</v>
      </c>
    </row>
    <row customHeight="true" ht="15.476190476190476" r="22">
      <c r="A22" s="311" t="s">
        <v>1798</v>
      </c>
      <c r="B22" s="311"/>
      <c r="C22" s="311"/>
      <c r="D22" s="311"/>
      <c r="E22" s="311"/>
      <c r="F22" s="311"/>
      <c r="G22" s="311"/>
      <c r="H22" s="311"/>
    </row>
    <row r="23">
      <c r="A23" s="306" t="s">
        <v>1799</v>
      </c>
      <c r="B23" s="306" t="s">
        <v>1800</v>
      </c>
      <c r="C23" s="306" t="s">
        <v>1801</v>
      </c>
      <c r="D23" s="306" t="s">
        <v>1729</v>
      </c>
      <c r="E23" s="306" t="s">
        <v>1729</v>
      </c>
      <c r="F23" s="308" t="s">
        <v>1729</v>
      </c>
      <c r="G23" s="306" t="s">
        <v>1729</v>
      </c>
      <c r="H23" s="306" t="s">
        <v>1729</v>
      </c>
    </row>
    <row r="24">
      <c r="A24" s="306" t="s">
        <v>1802</v>
      </c>
      <c r="B24" s="306" t="s">
        <v>1803</v>
      </c>
      <c r="C24" s="306" t="s">
        <v>1804</v>
      </c>
      <c r="D24" s="306" t="s">
        <v>1729</v>
      </c>
      <c r="E24" s="306" t="s">
        <v>1729</v>
      </c>
      <c r="F24" s="308" t="s">
        <v>1729</v>
      </c>
      <c r="G24" s="306" t="s">
        <v>1729</v>
      </c>
      <c r="H24" s="306" t="s">
        <v>1729</v>
      </c>
    </row>
    <row customHeight="true" ht="15.476190476190476" r="25">
      <c r="A25" s="310" t="s">
        <v>1805</v>
      </c>
      <c r="B25" s="310" t="s">
        <v>1806</v>
      </c>
      <c r="C25" s="310" t="s">
        <v>1807</v>
      </c>
      <c r="D25" s="310" t="s">
        <v>1729</v>
      </c>
      <c r="E25" s="310" t="s">
        <v>1729</v>
      </c>
      <c r="F25" s="312" t="s">
        <v>1729</v>
      </c>
      <c r="G25" s="310" t="s">
        <v>1729</v>
      </c>
      <c r="H25" s="310" t="s">
        <v>1729</v>
      </c>
    </row>
    <row r="26">
      <c r="A26" s="306" t="s">
        <v>1808</v>
      </c>
      <c r="B26" s="306" t="s">
        <v>1809</v>
      </c>
      <c r="C26" s="306" t="s">
        <v>1810</v>
      </c>
      <c r="D26" s="306" t="s">
        <v>1729</v>
      </c>
      <c r="E26" s="306" t="s">
        <v>1729</v>
      </c>
      <c r="F26" s="308" t="s">
        <v>1729</v>
      </c>
      <c r="G26" s="306" t="s">
        <v>1729</v>
      </c>
      <c r="H26" s="306" t="s">
        <v>1729</v>
      </c>
    </row>
    <row r="27">
      <c r="A27" s="306" t="s">
        <v>1811</v>
      </c>
      <c r="B27" s="306" t="s">
        <v>1812</v>
      </c>
      <c r="C27" s="306" t="s">
        <v>1813</v>
      </c>
      <c r="D27" s="306" t="s">
        <v>1729</v>
      </c>
      <c r="E27" s="306" t="s">
        <v>1729</v>
      </c>
      <c r="F27" s="308" t="s">
        <v>1729</v>
      </c>
      <c r="G27" s="306" t="s">
        <v>1729</v>
      </c>
      <c r="H27" s="306" t="s">
        <v>1729</v>
      </c>
    </row>
  </sheetData>
  <mergeCells>
    <mergeCell ref="A1:H1"/>
    <mergeCell ref="A2:H2"/>
    <mergeCell ref="A3:H3"/>
    <mergeCell ref="A14:H14"/>
    <mergeCell ref="A22:H22"/>
  </mergeCells>
  <drawing r:id="rId1"/>
</worksheet>
</file>

<file path=xl/worksheets/sheet19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3" ySplit="2"/>
    </sheetView>
  </sheetViews>
  <sheetFormatPr defaultRowHeight="0"/>
  <cols>
    <col collapsed="false" customWidth="true" hidden="false" max="8" min="8" style="0" width="35.436619718309856"/>
    <col collapsed="false" customWidth="true" hidden="false" max="2" min="2" style="0" width="11.774647887323944"/>
    <col collapsed="false" customWidth="true" hidden="false" max="4" min="4" style="0" width="15.154929577464788"/>
    <col collapsed="false" customWidth="true" hidden="false" max="6" min="6" style="0" width="11.774647887323944"/>
    <col collapsed="false" customWidth="true" hidden="false" max="7" min="7" style="0" width="14.028169014084508"/>
    <col collapsed="false" customWidth="true" hidden="false" max="1" min="1" style="0" width="25.295774647887324"/>
    <col collapsed="false" customWidth="true" hidden="false" max="3" min="3" style="0" width="19.661971830985916"/>
    <col collapsed="false" customWidth="true" hidden="false" max="5" min="5" style="0" width="12.901408450704226"/>
  </cols>
  <sheetData>
    <row customHeight="true" ht="17.857142857142858" r="1">
      <c r="A1" s="313" t="s">
        <v>1814</v>
      </c>
      <c r="B1" s="313"/>
      <c r="C1" s="313"/>
      <c r="D1" s="313"/>
      <c r="E1" s="313"/>
      <c r="F1" s="313"/>
      <c r="G1" s="313"/>
      <c r="H1" s="313"/>
    </row>
    <row customHeight="true" ht="14.285714285714286" r="2">
      <c r="A2" s="314" t="s">
        <v>1815</v>
      </c>
      <c r="B2" s="314"/>
      <c r="C2" s="314"/>
      <c r="D2" s="314"/>
      <c r="E2" s="314"/>
      <c r="F2" s="314"/>
      <c r="G2" s="314"/>
      <c r="H2" s="314"/>
    </row>
    <row customHeight="true" ht="15.476190476190476" r="3">
      <c r="A3" s="315" t="s">
        <v>1816</v>
      </c>
      <c r="B3" s="315"/>
      <c r="C3" s="315"/>
      <c r="D3" s="315"/>
      <c r="E3" s="315"/>
      <c r="F3" s="315"/>
      <c r="G3" s="315"/>
      <c r="H3" s="315"/>
    </row>
    <row customHeight="true" ht="15.476190476190476" r="4">
      <c r="A4" s="316" t="s">
        <v>1817</v>
      </c>
      <c r="B4" s="316" t="s">
        <v>1818</v>
      </c>
      <c r="C4" s="316" t="s">
        <v>1819</v>
      </c>
      <c r="D4" s="316" t="s">
        <v>1820</v>
      </c>
      <c r="E4" s="316" t="s">
        <v>1821</v>
      </c>
      <c r="F4" s="316" t="s">
        <v>1822</v>
      </c>
      <c r="G4" s="316" t="s">
        <v>1823</v>
      </c>
      <c r="H4" s="316" t="s">
        <v>1824</v>
      </c>
    </row>
    <row r="5">
      <c r="A5" s="317" t="s">
        <v>1825</v>
      </c>
      <c r="B5" s="318">
        <v>1.42</v>
      </c>
      <c r="C5" s="317" t="s">
        <v>1826</v>
      </c>
      <c r="D5" s="319">
        <v>92400</v>
      </c>
      <c r="E5" s="320">
        <v>0.852</v>
      </c>
      <c r="F5" s="318">
        <v>4.2</v>
      </c>
      <c r="G5" s="317" t="s">
        <v>1827</v>
      </c>
      <c r="H5" s="317" t="s">
        <v>1828</v>
      </c>
    </row>
    <row r="6">
      <c r="A6" s="317" t="s">
        <v>1829</v>
      </c>
      <c r="B6" s="318">
        <v>1.83</v>
      </c>
      <c r="C6" s="317" t="s">
        <v>1830</v>
      </c>
      <c r="D6" s="319">
        <v>66300</v>
      </c>
      <c r="E6" s="320">
        <v>0.95</v>
      </c>
      <c r="F6" s="318">
        <v>4.63</v>
      </c>
      <c r="G6" s="317" t="s">
        <v>1831</v>
      </c>
      <c r="H6" s="317" t="s">
        <v>1832</v>
      </c>
    </row>
    <row r="7">
      <c r="A7" s="317" t="s">
        <v>1833</v>
      </c>
      <c r="B7" s="318">
        <v>2.6</v>
      </c>
      <c r="C7" s="317" t="s">
        <v>1834</v>
      </c>
      <c r="D7" s="319">
        <v>454798</v>
      </c>
      <c r="E7" s="320">
        <v>0.983</v>
      </c>
      <c r="F7" s="318">
        <v>5.1</v>
      </c>
      <c r="G7" s="317" t="s">
        <v>1835</v>
      </c>
      <c r="H7" s="317" t="s">
        <v>1836</v>
      </c>
    </row>
    <row customHeight="true" ht="15.476190476190476" r="8">
      <c r="A8" s="321" t="s">
        <v>1837</v>
      </c>
      <c r="B8" s="321"/>
      <c r="C8" s="321"/>
      <c r="D8" s="321"/>
      <c r="E8" s="321"/>
      <c r="F8" s="321"/>
      <c r="G8" s="321"/>
      <c r="H8" s="321"/>
    </row>
    <row customHeight="true" ht="15.476190476190476" r="9">
      <c r="A9" s="322" t="s">
        <v>1838</v>
      </c>
      <c r="B9" s="322" t="s">
        <v>1839</v>
      </c>
      <c r="C9" s="322" t="s">
        <v>1840</v>
      </c>
      <c r="D9" s="322" t="s">
        <v>1824</v>
      </c>
      <c r="E9" s="322" t="s">
        <v>1841</v>
      </c>
      <c r="F9" s="322" t="s">
        <v>1841</v>
      </c>
      <c r="G9" s="322" t="s">
        <v>1841</v>
      </c>
      <c r="H9" s="322" t="s">
        <v>1841</v>
      </c>
    </row>
    <row r="10">
      <c r="A10" s="317" t="s">
        <v>1842</v>
      </c>
      <c r="B10" s="319">
        <v>92400</v>
      </c>
      <c r="C10" s="320">
        <v>0.505</v>
      </c>
      <c r="D10" s="317" t="s">
        <v>1843</v>
      </c>
      <c r="E10" s="317" t="s">
        <v>1841</v>
      </c>
      <c r="F10" s="317" t="s">
        <v>1841</v>
      </c>
      <c r="G10" s="317" t="s">
        <v>1841</v>
      </c>
      <c r="H10" s="317" t="s">
        <v>1841</v>
      </c>
    </row>
    <row r="11">
      <c r="A11" s="317" t="s">
        <v>1844</v>
      </c>
      <c r="B11" s="319">
        <v>54798</v>
      </c>
      <c r="C11" s="320">
        <v>0.3</v>
      </c>
      <c r="D11" s="317" t="s">
        <v>1845</v>
      </c>
      <c r="E11" s="317" t="s">
        <v>1841</v>
      </c>
      <c r="F11" s="317" t="s">
        <v>1841</v>
      </c>
      <c r="G11" s="317" t="s">
        <v>1841</v>
      </c>
      <c r="H11" s="317" t="s">
        <v>1841</v>
      </c>
    </row>
    <row r="12">
      <c r="A12" s="317" t="s">
        <v>1846</v>
      </c>
      <c r="B12" s="319">
        <v>11502</v>
      </c>
      <c r="C12" s="320">
        <v>0.063</v>
      </c>
      <c r="D12" s="317" t="s">
        <v>1847</v>
      </c>
      <c r="E12" s="317" t="s">
        <v>1841</v>
      </c>
      <c r="F12" s="317" t="s">
        <v>1841</v>
      </c>
      <c r="G12" s="317" t="s">
        <v>1841</v>
      </c>
      <c r="H12" s="317" t="s">
        <v>1841</v>
      </c>
    </row>
    <row r="13">
      <c r="A13" s="317" t="s">
        <v>1848</v>
      </c>
      <c r="B13" s="319">
        <v>24200</v>
      </c>
      <c r="C13" s="320">
        <v>0.132</v>
      </c>
      <c r="D13" s="317" t="s">
        <v>1849</v>
      </c>
      <c r="E13" s="317" t="s">
        <v>1841</v>
      </c>
      <c r="F13" s="317" t="s">
        <v>1841</v>
      </c>
      <c r="G13" s="317" t="s">
        <v>1841</v>
      </c>
      <c r="H13" s="317" t="s">
        <v>1841</v>
      </c>
    </row>
    <row r="14">
      <c r="A14" s="317" t="s">
        <v>1850</v>
      </c>
      <c r="B14" s="319">
        <f>SUM(B10:B13)</f>
      </c>
      <c r="C14" s="320">
        <f>ROUND(SUM(B10:B13)/SUM(B10:B13),3)</f>
      </c>
      <c r="D14" s="317" t="s">
        <v>1851</v>
      </c>
      <c r="E14" s="317" t="s">
        <v>1841</v>
      </c>
      <c r="F14" s="317" t="s">
        <v>1841</v>
      </c>
      <c r="G14" s="317" t="s">
        <v>1841</v>
      </c>
      <c r="H14" s="317" t="s">
        <v>1841</v>
      </c>
    </row>
    <row customHeight="true" ht="15.476190476190476" r="15">
      <c r="A15" s="321" t="s">
        <v>1852</v>
      </c>
      <c r="B15" s="321"/>
      <c r="C15" s="321"/>
      <c r="D15" s="321"/>
      <c r="E15" s="321"/>
      <c r="F15" s="321"/>
      <c r="G15" s="321"/>
      <c r="H15" s="321"/>
    </row>
    <row customHeight="true" ht="15.476190476190476" r="16">
      <c r="A16" s="322" t="s">
        <v>1818</v>
      </c>
      <c r="B16" s="323" t="s">
        <v>1853</v>
      </c>
      <c r="C16" s="324" t="s">
        <v>1854</v>
      </c>
      <c r="D16" s="324" t="s">
        <v>1822</v>
      </c>
      <c r="E16" s="323" t="s">
        <v>1855</v>
      </c>
      <c r="F16" s="322" t="s">
        <v>1841</v>
      </c>
      <c r="G16" s="322" t="s">
        <v>1841</v>
      </c>
      <c r="H16" s="322" t="s">
        <v>1841</v>
      </c>
    </row>
    <row r="17">
      <c r="A17" s="317">
        <v>0.9</v>
      </c>
      <c r="B17" s="320">
        <v>0.907</v>
      </c>
      <c r="C17" s="320">
        <v>0.917</v>
      </c>
      <c r="D17" s="318">
        <v>3.8</v>
      </c>
      <c r="E17" s="318" t="s">
        <v>1856</v>
      </c>
      <c r="F17" s="317" t="s">
        <v>1841</v>
      </c>
      <c r="G17" s="317" t="s">
        <v>1841</v>
      </c>
      <c r="H17" s="317" t="s">
        <v>1841</v>
      </c>
    </row>
    <row r="18">
      <c r="A18" s="317">
        <v>1.42</v>
      </c>
      <c r="B18" s="320">
        <v>0.934</v>
      </c>
      <c r="C18" s="320">
        <v>0.939</v>
      </c>
      <c r="D18" s="318">
        <v>4.2</v>
      </c>
      <c r="E18" s="318" t="s">
        <v>1857</v>
      </c>
      <c r="F18" s="317" t="s">
        <v>1841</v>
      </c>
      <c r="G18" s="317" t="s">
        <v>1841</v>
      </c>
      <c r="H18" s="317" t="s">
        <v>1841</v>
      </c>
    </row>
    <row r="19">
      <c r="A19" s="317">
        <v>1.83</v>
      </c>
      <c r="B19" s="320">
        <v>0.947</v>
      </c>
      <c r="C19" s="320">
        <v>0.972</v>
      </c>
      <c r="D19" s="318">
        <v>4.63</v>
      </c>
      <c r="E19" s="318" t="s">
        <v>1858</v>
      </c>
      <c r="F19" s="317" t="s">
        <v>1841</v>
      </c>
      <c r="G19" s="317" t="s">
        <v>1841</v>
      </c>
      <c r="H19" s="317" t="s">
        <v>1841</v>
      </c>
    </row>
    <row r="20">
      <c r="A20" s="317">
        <v>2.6</v>
      </c>
      <c r="B20" s="320">
        <v>0.958</v>
      </c>
      <c r="C20" s="320">
        <v>0.983</v>
      </c>
      <c r="D20" s="318">
        <v>5.1</v>
      </c>
      <c r="E20" s="318" t="s">
        <v>1859</v>
      </c>
      <c r="F20" s="317" t="s">
        <v>1841</v>
      </c>
      <c r="G20" s="317" t="s">
        <v>1841</v>
      </c>
      <c r="H20" s="317" t="s">
        <v>1841</v>
      </c>
    </row>
    <row r="21">
      <c r="A21" s="317">
        <v>4.2</v>
      </c>
      <c r="B21" s="320">
        <v>0.964</v>
      </c>
      <c r="C21" s="320">
        <v>0.988</v>
      </c>
      <c r="D21" s="318">
        <v>6.9</v>
      </c>
      <c r="E21" s="318" t="s">
        <v>1860</v>
      </c>
      <c r="F21" s="317" t="s">
        <v>1841</v>
      </c>
      <c r="G21" s="317" t="s">
        <v>1841</v>
      </c>
      <c r="H21" s="317" t="s">
        <v>1841</v>
      </c>
    </row>
    <row r="22">
      <c r="A22" s="317" t="s">
        <v>1861</v>
      </c>
      <c r="B22" s="317" t="s">
        <v>1862</v>
      </c>
      <c r="C22" s="317" t="s">
        <v>1863</v>
      </c>
      <c r="D22" s="317" t="s">
        <v>1864</v>
      </c>
      <c r="E22" s="317" t="s">
        <v>1865</v>
      </c>
      <c r="F22" s="317" t="s">
        <v>1841</v>
      </c>
      <c r="G22" s="317" t="s">
        <v>1841</v>
      </c>
      <c r="H22" s="317" t="s">
        <v>1841</v>
      </c>
    </row>
    <row customHeight="true" ht="15.476190476190476" r="23">
      <c r="A23" s="321" t="s">
        <v>1866</v>
      </c>
      <c r="B23" s="321"/>
      <c r="C23" s="321"/>
      <c r="D23" s="321"/>
      <c r="E23" s="321"/>
      <c r="F23" s="321"/>
      <c r="G23" s="321"/>
      <c r="H23" s="321"/>
    </row>
    <row customHeight="true" ht="15.476190476190476" r="24">
      <c r="A24" s="322" t="s">
        <v>1867</v>
      </c>
      <c r="B24" s="322" t="s">
        <v>1868</v>
      </c>
      <c r="C24" s="322" t="s">
        <v>1869</v>
      </c>
      <c r="D24" s="322" t="s">
        <v>1870</v>
      </c>
      <c r="E24" s="322" t="s">
        <v>1871</v>
      </c>
      <c r="F24" s="322" t="s">
        <v>1841</v>
      </c>
      <c r="G24" s="322" t="s">
        <v>1841</v>
      </c>
      <c r="H24" s="322" t="s">
        <v>1841</v>
      </c>
    </row>
    <row r="25">
      <c r="A25" s="317" t="s">
        <v>1872</v>
      </c>
      <c r="B25" s="317" t="s">
        <v>1873</v>
      </c>
      <c r="C25" s="317" t="s">
        <v>1874</v>
      </c>
      <c r="D25" s="317" t="s">
        <v>1864</v>
      </c>
      <c r="E25" s="317" t="s">
        <v>1864</v>
      </c>
      <c r="F25" s="317" t="s">
        <v>1841</v>
      </c>
      <c r="G25" s="317" t="s">
        <v>1841</v>
      </c>
      <c r="H25" s="317" t="s">
        <v>1841</v>
      </c>
    </row>
    <row r="26">
      <c r="A26" s="317" t="s">
        <v>1875</v>
      </c>
      <c r="B26" s="317" t="s">
        <v>1876</v>
      </c>
      <c r="C26" s="317" t="s">
        <v>1877</v>
      </c>
      <c r="D26" s="317" t="s">
        <v>1864</v>
      </c>
      <c r="E26" s="317" t="s">
        <v>1864</v>
      </c>
      <c r="F26" s="317" t="s">
        <v>1841</v>
      </c>
      <c r="G26" s="317" t="s">
        <v>1841</v>
      </c>
      <c r="H26" s="317" t="s">
        <v>1841</v>
      </c>
    </row>
    <row r="27">
      <c r="A27" s="317" t="s">
        <v>1878</v>
      </c>
      <c r="B27" s="317" t="s">
        <v>1879</v>
      </c>
      <c r="C27" s="317" t="s">
        <v>1880</v>
      </c>
      <c r="D27" s="317" t="s">
        <v>1881</v>
      </c>
      <c r="E27" s="317" t="s">
        <v>1882</v>
      </c>
      <c r="F27" s="317" t="s">
        <v>1841</v>
      </c>
      <c r="G27" s="317" t="s">
        <v>1841</v>
      </c>
      <c r="H27" s="317" t="s">
        <v>1841</v>
      </c>
    </row>
  </sheetData>
  <mergeCells>
    <mergeCell ref="A1:H1"/>
    <mergeCell ref="A2:H2"/>
    <mergeCell ref="A3:H3"/>
    <mergeCell ref="A8:H8"/>
    <mergeCell ref="A15:H15"/>
    <mergeCell ref="A23:H23"/>
  </mergeCells>
  <drawing r:id="rId1"/>
</worksheet>
</file>

<file path=xl/worksheets/sheet20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3" ySplit="2"/>
    </sheetView>
  </sheetViews>
  <sheetFormatPr defaultRowHeight="0"/>
  <cols>
    <col collapsed="false" customWidth="true" hidden="false" max="1" min="1" style="0" width="28.676056338028168"/>
    <col collapsed="false" customWidth="true" hidden="false" max="2" min="2" style="0" width="19.661971830985916"/>
    <col collapsed="false" customWidth="true" hidden="false" max="3" min="3" style="0" width="19.661971830985916"/>
    <col collapsed="false" customWidth="true" hidden="false" max="4" min="4" style="0" width="10.647887323943662"/>
    <col collapsed="false" customWidth="true" hidden="false" max="5" min="5" style="0" width="10.647887323943662"/>
    <col collapsed="false" customWidth="true" hidden="false" max="6" min="6" style="0" width="15.154929577464788"/>
    <col collapsed="false" customWidth="true" hidden="false" max="7" min="7" style="0" width="28.676056338028168"/>
  </cols>
  <sheetData>
    <row customHeight="true" ht="17.857142857142858" r="1">
      <c r="A1" s="325" t="s">
        <v>1883</v>
      </c>
      <c r="B1" s="325"/>
      <c r="C1" s="325"/>
      <c r="D1" s="325"/>
      <c r="E1" s="325"/>
      <c r="F1" s="325"/>
      <c r="G1" s="325"/>
    </row>
    <row customHeight="true" ht="14.285714285714286" r="2">
      <c r="A2" s="326" t="s">
        <v>1884</v>
      </c>
      <c r="B2" s="326"/>
      <c r="C2" s="326"/>
      <c r="D2" s="326"/>
      <c r="E2" s="326"/>
      <c r="F2" s="326"/>
      <c r="G2" s="326"/>
    </row>
    <row customHeight="true" ht="15.476190476190476" r="3">
      <c r="A3" s="327" t="s">
        <v>1885</v>
      </c>
      <c r="B3" s="327"/>
      <c r="C3" s="327"/>
      <c r="D3" s="327"/>
      <c r="E3" s="327"/>
      <c r="F3" s="327"/>
      <c r="G3" s="327"/>
    </row>
    <row customHeight="true" ht="15.476190476190476" r="4">
      <c r="A4" s="328" t="s">
        <v>1886</v>
      </c>
      <c r="B4" s="328" t="s">
        <v>1887</v>
      </c>
      <c r="C4" s="328" t="s">
        <v>1888</v>
      </c>
      <c r="D4" s="328" t="s">
        <v>1889</v>
      </c>
      <c r="E4" s="328" t="s">
        <v>1890</v>
      </c>
      <c r="F4" s="328" t="s">
        <v>1891</v>
      </c>
      <c r="G4" s="328" t="s">
        <v>1892</v>
      </c>
    </row>
    <row r="5">
      <c r="A5" s="329" t="s">
        <v>1893</v>
      </c>
      <c r="B5" s="329" t="s">
        <v>1894</v>
      </c>
      <c r="C5" s="329" t="s">
        <v>1895</v>
      </c>
      <c r="D5" s="330">
        <v>41500</v>
      </c>
      <c r="E5" s="331">
        <v>0.972</v>
      </c>
      <c r="F5" s="329" t="s">
        <v>1896</v>
      </c>
      <c r="G5" s="329" t="s">
        <v>1897</v>
      </c>
    </row>
    <row r="6">
      <c r="A6" s="329" t="s">
        <v>1898</v>
      </c>
      <c r="B6" s="329" t="s">
        <v>1899</v>
      </c>
      <c r="C6" s="329" t="s">
        <v>1900</v>
      </c>
      <c r="D6" s="330">
        <v>8600</v>
      </c>
      <c r="E6" s="331">
        <v>0.964</v>
      </c>
      <c r="F6" s="329" t="s">
        <v>1901</v>
      </c>
      <c r="G6" s="329" t="s">
        <v>1902</v>
      </c>
    </row>
    <row r="7">
      <c r="A7" s="329" t="s">
        <v>1903</v>
      </c>
      <c r="B7" s="329" t="s">
        <v>1904</v>
      </c>
      <c r="C7" s="329" t="s">
        <v>1905</v>
      </c>
      <c r="D7" s="330">
        <v>6200</v>
      </c>
      <c r="E7" s="331">
        <v>0.958</v>
      </c>
      <c r="F7" s="329" t="s">
        <v>1906</v>
      </c>
      <c r="G7" s="329" t="s">
        <v>1907</v>
      </c>
    </row>
    <row r="8">
      <c r="A8" s="329" t="s">
        <v>1908</v>
      </c>
      <c r="B8" s="329" t="s">
        <v>1909</v>
      </c>
      <c r="C8" s="329" t="s">
        <v>1910</v>
      </c>
      <c r="D8" s="330">
        <v>3800</v>
      </c>
      <c r="E8" s="331">
        <v>0.931</v>
      </c>
      <c r="F8" s="329" t="s">
        <v>1911</v>
      </c>
      <c r="G8" s="329" t="s">
        <v>1912</v>
      </c>
    </row>
    <row r="9">
      <c r="A9" s="329" t="s">
        <v>1913</v>
      </c>
      <c r="B9" s="329" t="s">
        <v>1914</v>
      </c>
      <c r="C9" s="329" t="s">
        <v>1915</v>
      </c>
      <c r="D9" s="330">
        <v>2400</v>
      </c>
      <c r="E9" s="331">
        <v>0.917</v>
      </c>
      <c r="F9" s="329" t="s">
        <v>1916</v>
      </c>
      <c r="G9" s="329" t="s">
        <v>1917</v>
      </c>
    </row>
    <row r="10">
      <c r="A10" s="329" t="s">
        <v>1918</v>
      </c>
      <c r="B10" s="329" t="s">
        <v>1919</v>
      </c>
      <c r="C10" s="329" t="s">
        <v>1920</v>
      </c>
      <c r="D10" s="330">
        <v>1600</v>
      </c>
      <c r="E10" s="331">
        <v>0.963</v>
      </c>
      <c r="F10" s="329" t="s">
        <v>1901</v>
      </c>
      <c r="G10" s="329" t="s">
        <v>1921</v>
      </c>
    </row>
    <row r="11">
      <c r="A11" s="329" t="s">
        <v>1922</v>
      </c>
      <c r="B11" s="329" t="s">
        <v>1923</v>
      </c>
      <c r="C11" s="329" t="s">
        <v>1924</v>
      </c>
      <c r="D11" s="330">
        <v>1200</v>
      </c>
      <c r="E11" s="331">
        <v>0.892</v>
      </c>
      <c r="F11" s="329" t="s">
        <v>1925</v>
      </c>
      <c r="G11" s="329" t="s">
        <v>1926</v>
      </c>
    </row>
    <row r="12">
      <c r="A12" s="329" t="s">
        <v>1927</v>
      </c>
      <c r="B12" s="329" t="s">
        <v>1928</v>
      </c>
      <c r="C12" s="329" t="s">
        <v>1929</v>
      </c>
      <c r="D12" s="330">
        <v>800</v>
      </c>
      <c r="E12" s="331">
        <v>0.906</v>
      </c>
      <c r="F12" s="329" t="s">
        <v>1911</v>
      </c>
      <c r="G12" s="329" t="s">
        <v>1930</v>
      </c>
    </row>
    <row r="13">
      <c r="A13" s="329" t="s">
        <v>1931</v>
      </c>
      <c r="B13" s="329" t="s">
        <v>1932</v>
      </c>
      <c r="C13" s="329" t="s">
        <v>1933</v>
      </c>
      <c r="D13" s="330">
        <v>600</v>
      </c>
      <c r="E13" s="331">
        <v>1</v>
      </c>
      <c r="F13" s="329" t="s">
        <v>1934</v>
      </c>
      <c r="G13" s="329" t="s">
        <v>1935</v>
      </c>
    </row>
    <row r="14">
      <c r="A14" s="329" t="s">
        <v>1936</v>
      </c>
      <c r="B14" s="329" t="s">
        <v>1937</v>
      </c>
      <c r="C14" s="329" t="s">
        <v>1938</v>
      </c>
      <c r="D14" s="330">
        <v>2900</v>
      </c>
      <c r="E14" s="331">
        <v>0.948</v>
      </c>
      <c r="F14" s="329" t="s">
        <v>1939</v>
      </c>
      <c r="G14" s="329" t="s">
        <v>1940</v>
      </c>
    </row>
    <row r="15">
      <c r="A15" s="329" t="s">
        <v>1941</v>
      </c>
      <c r="B15" s="329" t="s">
        <v>1942</v>
      </c>
      <c r="C15" s="329" t="s">
        <v>1943</v>
      </c>
      <c r="D15" s="330">
        <v>1100</v>
      </c>
      <c r="E15" s="331">
        <v>0.927</v>
      </c>
      <c r="F15" s="329" t="s">
        <v>1944</v>
      </c>
      <c r="G15" s="329" t="s">
        <v>1945</v>
      </c>
    </row>
    <row r="16">
      <c r="A16" s="329" t="s">
        <v>1946</v>
      </c>
      <c r="B16" s="329" t="s">
        <v>1947</v>
      </c>
      <c r="C16" s="329" t="s">
        <v>1948</v>
      </c>
      <c r="D16" s="330">
        <v>900</v>
      </c>
      <c r="E16" s="331">
        <v>1</v>
      </c>
      <c r="F16" s="329" t="s">
        <v>1949</v>
      </c>
      <c r="G16" s="329" t="s">
        <v>1950</v>
      </c>
    </row>
    <row r="17">
      <c r="A17" s="329" t="s">
        <v>1951</v>
      </c>
      <c r="B17" s="332">
        <f>COUNTA(A5:A16)</f>
      </c>
      <c r="C17" s="331" t="s">
        <v>1952</v>
      </c>
      <c r="D17" s="331">
        <f>ROUND(AVERAGE(E5:E16),3)</f>
      </c>
      <c r="E17" s="329" t="s">
        <v>1953</v>
      </c>
      <c r="F17" s="330">
        <f>SUM(D5:D16)</f>
      </c>
      <c r="G17" s="329" t="s">
        <v>1954</v>
      </c>
    </row>
    <row customHeight="true" ht="15.476190476190476" r="18">
      <c r="A18" s="333" t="s">
        <v>1955</v>
      </c>
      <c r="B18" s="333"/>
      <c r="C18" s="333"/>
      <c r="D18" s="333"/>
      <c r="E18" s="333"/>
      <c r="F18" s="333"/>
      <c r="G18" s="333"/>
    </row>
    <row customHeight="true" ht="15.476190476190476" r="19">
      <c r="A19" s="334" t="s">
        <v>1956</v>
      </c>
      <c r="B19" s="334" t="s">
        <v>1957</v>
      </c>
      <c r="C19" s="334" t="s">
        <v>1958</v>
      </c>
      <c r="D19" s="334" t="s">
        <v>1959</v>
      </c>
      <c r="E19" s="334" t="s">
        <v>1960</v>
      </c>
      <c r="F19" s="334" t="s">
        <v>1961</v>
      </c>
      <c r="G19" s="334" t="s">
        <v>1962</v>
      </c>
    </row>
    <row r="20">
      <c r="A20" s="329" t="s">
        <v>1963</v>
      </c>
      <c r="B20" s="329" t="s">
        <v>1964</v>
      </c>
      <c r="C20" s="329" t="s">
        <v>1965</v>
      </c>
      <c r="D20" s="329" t="s">
        <v>1966</v>
      </c>
      <c r="E20" s="331">
        <f>ROUND(0.972*0.964*0.964*0.958*0.999,3)</f>
      </c>
      <c r="F20" s="329" t="s">
        <v>1967</v>
      </c>
      <c r="G20" s="329" t="s">
        <v>1962</v>
      </c>
    </row>
    <row r="21">
      <c r="A21" s="329" t="s">
        <v>1968</v>
      </c>
      <c r="B21" s="329" t="s">
        <v>1969</v>
      </c>
      <c r="C21" s="329" t="s">
        <v>1970</v>
      </c>
      <c r="D21" s="329" t="s">
        <v>1971</v>
      </c>
      <c r="E21" s="331">
        <f>ROUND(0.917*0.972*0.999,3)</f>
      </c>
      <c r="F21" s="329" t="s">
        <v>1972</v>
      </c>
      <c r="G21" s="329" t="s">
        <v>1962</v>
      </c>
    </row>
    <row r="22">
      <c r="A22" s="329" t="s">
        <v>1973</v>
      </c>
      <c r="B22" s="329" t="s">
        <v>1974</v>
      </c>
      <c r="C22" s="329" t="s">
        <v>1975</v>
      </c>
      <c r="D22" s="329" t="s">
        <v>1976</v>
      </c>
      <c r="E22" s="331">
        <f>ROUND(0.968*0.999,3)</f>
      </c>
      <c r="F22" s="329" t="s">
        <v>1977</v>
      </c>
      <c r="G22" s="329" t="s">
        <v>1962</v>
      </c>
    </row>
    <row r="23">
      <c r="A23" s="329" t="s">
        <v>1978</v>
      </c>
      <c r="B23" s="329" t="s">
        <v>1969</v>
      </c>
      <c r="C23" s="329" t="s">
        <v>1979</v>
      </c>
      <c r="D23" s="329" t="s">
        <v>1980</v>
      </c>
      <c r="E23" s="331">
        <f>ROUND(0.972*0.972*0.958,3)</f>
      </c>
      <c r="F23" s="329" t="s">
        <v>1981</v>
      </c>
      <c r="G23" s="329" t="s">
        <v>1962</v>
      </c>
    </row>
    <row customHeight="true" ht="15.476190476190476" r="24">
      <c r="A24" s="333" t="s">
        <v>1982</v>
      </c>
      <c r="B24" s="333"/>
      <c r="C24" s="333"/>
      <c r="D24" s="333"/>
      <c r="E24" s="333"/>
      <c r="F24" s="333"/>
      <c r="G24" s="333"/>
    </row>
    <row customHeight="true" ht="15.476190476190476" r="25">
      <c r="A25" s="334" t="s">
        <v>1983</v>
      </c>
      <c r="B25" s="334" t="s">
        <v>1984</v>
      </c>
      <c r="C25" s="334" t="s">
        <v>1985</v>
      </c>
      <c r="D25" s="334" t="s">
        <v>1892</v>
      </c>
      <c r="E25" s="334" t="s">
        <v>1962</v>
      </c>
      <c r="F25" s="334" t="s">
        <v>1962</v>
      </c>
      <c r="G25" s="334" t="s">
        <v>1962</v>
      </c>
    </row>
    <row r="26">
      <c r="A26" s="329">
        <v>1</v>
      </c>
      <c r="B26" s="331">
        <f>ROUND(0.972^1,3)</f>
      </c>
      <c r="C26" s="331">
        <v>0.972</v>
      </c>
      <c r="D26" s="329" t="s">
        <v>1986</v>
      </c>
      <c r="E26" s="329" t="s">
        <v>1962</v>
      </c>
      <c r="F26" s="329" t="s">
        <v>1962</v>
      </c>
      <c r="G26" s="329" t="s">
        <v>1962</v>
      </c>
    </row>
    <row r="27">
      <c r="A27" s="329">
        <v>2</v>
      </c>
      <c r="B27" s="331">
        <f>ROUND(0.972^2,3)</f>
      </c>
      <c r="C27" s="331">
        <v>0.941</v>
      </c>
      <c r="D27" s="329" t="s">
        <v>1987</v>
      </c>
      <c r="E27" s="329" t="s">
        <v>1962</v>
      </c>
      <c r="F27" s="329" t="s">
        <v>1962</v>
      </c>
      <c r="G27" s="329" t="s">
        <v>1962</v>
      </c>
    </row>
    <row r="28">
      <c r="A28" s="329">
        <v>3</v>
      </c>
      <c r="B28" s="331">
        <f>ROUND(0.972^3,3)</f>
      </c>
      <c r="C28" s="331">
        <v>0.912</v>
      </c>
      <c r="D28" s="329" t="s">
        <v>1954</v>
      </c>
      <c r="E28" s="329" t="s">
        <v>1962</v>
      </c>
      <c r="F28" s="329" t="s">
        <v>1962</v>
      </c>
      <c r="G28" s="329" t="s">
        <v>1962</v>
      </c>
    </row>
    <row r="29">
      <c r="A29" s="329">
        <v>5</v>
      </c>
      <c r="B29" s="331">
        <f>ROUND(0.972^5,3)</f>
      </c>
      <c r="C29" s="331">
        <v>0.859</v>
      </c>
      <c r="D29" s="329" t="s">
        <v>1988</v>
      </c>
      <c r="E29" s="329" t="s">
        <v>1962</v>
      </c>
      <c r="F29" s="329" t="s">
        <v>1962</v>
      </c>
      <c r="G29" s="329" t="s">
        <v>1962</v>
      </c>
    </row>
  </sheetData>
  <mergeCells>
    <mergeCell ref="A1:G1"/>
    <mergeCell ref="A2:G2"/>
    <mergeCell ref="A3:G3"/>
    <mergeCell ref="A18:G18"/>
    <mergeCell ref="A24:G24"/>
  </mergeCells>
  <drawing r:id="rId1"/>
</worksheet>
</file>

<file path=xl/worksheets/sheet2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3" ySplit="2"/>
    </sheetView>
  </sheetViews>
  <sheetFormatPr defaultRowHeight="0"/>
  <cols>
    <col collapsed="false" customWidth="true" hidden="false" max="1" min="1" style="0" width="25.295774647887324"/>
    <col collapsed="false" customWidth="true" hidden="false" max="2" min="2" style="0" width="16.281690140845072"/>
    <col collapsed="false" customWidth="true" hidden="false" max="3" min="3" style="0" width="37.690140845070424"/>
  </cols>
  <sheetData>
    <row customHeight="true" ht="17.857142857142858" r="1">
      <c r="A1" s="335" t="s">
        <v>1989</v>
      </c>
      <c r="B1" s="335"/>
      <c r="C1" s="335"/>
      <c r="D1" s="335"/>
    </row>
    <row customHeight="true" ht="14.285714285714286" r="2">
      <c r="A2" s="336" t="s">
        <v>1990</v>
      </c>
      <c r="B2" s="336"/>
      <c r="C2" s="336"/>
      <c r="D2" s="336"/>
    </row>
    <row customHeight="true" ht="15.476190476190476" r="3">
      <c r="A3" s="337" t="s">
        <v>1991</v>
      </c>
      <c r="B3" s="337"/>
      <c r="C3" s="337"/>
      <c r="D3" s="337"/>
    </row>
    <row customHeight="true" ht="15.476190476190476" r="4">
      <c r="A4" s="338" t="s">
        <v>1992</v>
      </c>
      <c r="B4" s="338" t="s">
        <v>1993</v>
      </c>
      <c r="C4" s="338" t="s">
        <v>1994</v>
      </c>
      <c r="D4" s="338" t="s">
        <v>1995</v>
      </c>
    </row>
    <row r="5">
      <c r="A5" s="339" t="s">
        <v>1996</v>
      </c>
      <c r="B5" s="339" t="s">
        <v>1997</v>
      </c>
      <c r="C5" s="339" t="s">
        <v>1998</v>
      </c>
      <c r="D5" s="339" t="s">
        <v>1995</v>
      </c>
    </row>
    <row r="6">
      <c r="A6" s="339" t="s">
        <v>1999</v>
      </c>
      <c r="B6" s="339" t="s">
        <v>2000</v>
      </c>
      <c r="C6" s="339" t="s">
        <v>2001</v>
      </c>
      <c r="D6" s="339" t="s">
        <v>1995</v>
      </c>
    </row>
    <row r="7">
      <c r="A7" s="339" t="s">
        <v>2002</v>
      </c>
      <c r="B7" s="340">
        <v>0.893</v>
      </c>
      <c r="C7" s="339" t="s">
        <v>2003</v>
      </c>
      <c r="D7" s="339" t="s">
        <v>1995</v>
      </c>
    </row>
    <row r="8">
      <c r="A8" s="339" t="s">
        <v>2004</v>
      </c>
      <c r="B8" s="341">
        <v>0.91</v>
      </c>
      <c r="C8" s="339" t="s">
        <v>2005</v>
      </c>
      <c r="D8" s="339" t="s">
        <v>1995</v>
      </c>
    </row>
    <row r="9">
      <c r="A9" s="339" t="s">
        <v>2006</v>
      </c>
      <c r="B9" s="340">
        <v>1</v>
      </c>
      <c r="C9" s="339" t="s">
        <v>2007</v>
      </c>
      <c r="D9" s="339" t="s">
        <v>1995</v>
      </c>
    </row>
    <row r="10">
      <c r="A10" s="339" t="s">
        <v>2008</v>
      </c>
      <c r="B10" s="340">
        <v>0.064</v>
      </c>
      <c r="C10" s="339" t="s">
        <v>2009</v>
      </c>
      <c r="D10" s="339" t="s">
        <v>1995</v>
      </c>
    </row>
    <row customHeight="true" ht="15.476190476190476" r="11">
      <c r="A11" s="342" t="s">
        <v>2010</v>
      </c>
      <c r="B11" s="342"/>
      <c r="C11" s="342"/>
      <c r="D11" s="342"/>
    </row>
    <row customHeight="true" ht="15.476190476190476" r="12">
      <c r="A12" s="343" t="s">
        <v>2011</v>
      </c>
      <c r="B12" s="343" t="s">
        <v>2012</v>
      </c>
      <c r="C12" s="343" t="s">
        <v>2013</v>
      </c>
      <c r="D12" s="343" t="s">
        <v>2014</v>
      </c>
    </row>
    <row r="13">
      <c r="A13" s="339" t="s">
        <v>2015</v>
      </c>
      <c r="B13" s="340" t="s">
        <v>2016</v>
      </c>
      <c r="C13" s="339" t="s">
        <v>2017</v>
      </c>
      <c r="D13" s="340">
        <v>1</v>
      </c>
    </row>
    <row r="14">
      <c r="A14" s="339" t="s">
        <v>2018</v>
      </c>
      <c r="B14" s="340" t="s">
        <v>2019</v>
      </c>
      <c r="C14" s="339" t="s">
        <v>2020</v>
      </c>
      <c r="D14" s="340">
        <v>1</v>
      </c>
    </row>
    <row r="15">
      <c r="A15" s="339" t="s">
        <v>2021</v>
      </c>
      <c r="B15" s="340" t="s">
        <v>2022</v>
      </c>
      <c r="C15" s="339" t="s">
        <v>2023</v>
      </c>
      <c r="D15" s="340">
        <v>1</v>
      </c>
    </row>
    <row r="16">
      <c r="A16" s="339" t="s">
        <v>2024</v>
      </c>
      <c r="B16" s="340" t="s">
        <v>2025</v>
      </c>
      <c r="C16" s="339" t="s">
        <v>2026</v>
      </c>
      <c r="D16" s="340">
        <v>1</v>
      </c>
    </row>
    <row r="17">
      <c r="A17" s="339" t="s">
        <v>2027</v>
      </c>
      <c r="B17" s="339" t="s">
        <v>2028</v>
      </c>
      <c r="C17" s="339" t="s">
        <v>2029</v>
      </c>
      <c r="D17" s="339" t="s">
        <v>2030</v>
      </c>
    </row>
    <row customHeight="true" ht="15.476190476190476" r="18">
      <c r="A18" s="342" t="s">
        <v>2031</v>
      </c>
      <c r="B18" s="342"/>
      <c r="C18" s="342"/>
      <c r="D18" s="342"/>
    </row>
    <row customHeight="true" ht="15.476190476190476" r="19">
      <c r="A19" s="343" t="s">
        <v>1992</v>
      </c>
      <c r="B19" s="343" t="s">
        <v>1993</v>
      </c>
      <c r="C19" s="343" t="s">
        <v>1994</v>
      </c>
      <c r="D19" s="343" t="s">
        <v>1995</v>
      </c>
    </row>
    <row r="20">
      <c r="A20" s="339" t="s">
        <v>2032</v>
      </c>
      <c r="B20" s="340">
        <v>0.981</v>
      </c>
      <c r="C20" s="339" t="s">
        <v>2033</v>
      </c>
      <c r="D20" s="339" t="s">
        <v>1995</v>
      </c>
    </row>
    <row r="21">
      <c r="A21" s="339" t="s">
        <v>2034</v>
      </c>
      <c r="B21" s="344" t="s">
        <v>2035</v>
      </c>
      <c r="C21" s="339" t="s">
        <v>2036</v>
      </c>
      <c r="D21" s="339" t="s">
        <v>1995</v>
      </c>
    </row>
    <row r="22">
      <c r="A22" s="339" t="s">
        <v>2037</v>
      </c>
      <c r="B22" s="340">
        <v>0.963</v>
      </c>
      <c r="C22" s="339" t="s">
        <v>2038</v>
      </c>
      <c r="D22" s="339" t="s">
        <v>1995</v>
      </c>
    </row>
    <row r="23">
      <c r="A23" s="339" t="s">
        <v>2039</v>
      </c>
      <c r="B23" s="340" t="s">
        <v>2040</v>
      </c>
      <c r="C23" s="339" t="s">
        <v>2041</v>
      </c>
      <c r="D23" s="339" t="s">
        <v>1995</v>
      </c>
    </row>
    <row r="24">
      <c r="A24" s="339" t="s">
        <v>2042</v>
      </c>
      <c r="B24" s="345">
        <v>0</v>
      </c>
      <c r="C24" s="339" t="s">
        <v>2043</v>
      </c>
      <c r="D24" s="339" t="s">
        <v>1995</v>
      </c>
    </row>
    <row customHeight="true" ht="15.476190476190476" r="25">
      <c r="A25" s="342" t="s">
        <v>2044</v>
      </c>
      <c r="B25" s="342"/>
      <c r="C25" s="342"/>
      <c r="D25" s="342"/>
    </row>
    <row customHeight="true" ht="15.476190476190476" r="26">
      <c r="A26" s="343" t="s">
        <v>1992</v>
      </c>
      <c r="B26" s="343" t="s">
        <v>1993</v>
      </c>
      <c r="C26" s="343" t="s">
        <v>1994</v>
      </c>
      <c r="D26" s="343" t="s">
        <v>1995</v>
      </c>
    </row>
    <row customHeight="true" ht="15.476190476190476" r="27">
      <c r="A27" s="343" t="s">
        <v>2045</v>
      </c>
      <c r="B27" s="343" t="s">
        <v>2046</v>
      </c>
      <c r="C27" s="343" t="s">
        <v>2047</v>
      </c>
      <c r="D27" s="343" t="s">
        <v>1995</v>
      </c>
    </row>
    <row r="28">
      <c r="A28" s="339" t="s">
        <v>2048</v>
      </c>
      <c r="B28" s="344" t="s">
        <v>2049</v>
      </c>
      <c r="C28" s="339" t="s">
        <v>2050</v>
      </c>
      <c r="D28" s="339" t="s">
        <v>1995</v>
      </c>
    </row>
    <row r="29">
      <c r="A29" s="339" t="s">
        <v>2051</v>
      </c>
      <c r="B29" s="344" t="s">
        <v>2052</v>
      </c>
      <c r="C29" s="339" t="s">
        <v>2053</v>
      </c>
      <c r="D29" s="339" t="s">
        <v>1995</v>
      </c>
    </row>
    <row r="30">
      <c r="A30" s="339" t="s">
        <v>2054</v>
      </c>
      <c r="B30" s="344" t="s">
        <v>2055</v>
      </c>
      <c r="C30" s="339" t="s">
        <v>2056</v>
      </c>
      <c r="D30" s="339" t="s">
        <v>1995</v>
      </c>
    </row>
    <row r="31">
      <c r="A31" s="339" t="s">
        <v>2057</v>
      </c>
      <c r="B31" s="345">
        <v>0</v>
      </c>
      <c r="C31" s="339" t="s">
        <v>2058</v>
      </c>
      <c r="D31" s="339" t="s">
        <v>1995</v>
      </c>
    </row>
  </sheetData>
  <mergeCells>
    <mergeCell ref="A1:D1"/>
    <mergeCell ref="A2:D2"/>
    <mergeCell ref="A3:D3"/>
    <mergeCell ref="A11:D11"/>
    <mergeCell ref="A18:D18"/>
    <mergeCell ref="A25:D25"/>
  </mergeCells>
  <drawing r:id="rId1"/>
</worksheet>
</file>

<file path=xl/worksheets/sheet2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3" ySplit="2"/>
    </sheetView>
  </sheetViews>
  <sheetFormatPr defaultRowHeight="0"/>
  <cols>
    <col collapsed="false" customWidth="true" hidden="false" max="9" min="9" style="0" width="26.422535211267604"/>
    <col collapsed="false" customWidth="true" hidden="false" max="1" min="1" style="0" width="10.647887323943662"/>
    <col collapsed="false" customWidth="true" hidden="false" max="3" min="3" style="0" width="28.676056338028168"/>
    <col collapsed="false" customWidth="true" hidden="false" max="5" min="5" style="0" width="7.267605633802817"/>
    <col collapsed="false" customWidth="true" hidden="false" max="7" min="7" style="0" width="10.647887323943662"/>
    <col collapsed="false" customWidth="true" hidden="false" max="2" min="2" style="0" width="15.154929577464788"/>
    <col collapsed="false" customWidth="true" hidden="false" max="4" min="4" style="0" width="11.774647887323944"/>
    <col collapsed="false" customWidth="true" hidden="false" max="6" min="6" style="0" width="9.52112676056338"/>
    <col collapsed="false" customWidth="true" hidden="false" max="8" min="8" style="0" width="10.647887323943662"/>
  </cols>
  <sheetData>
    <row customHeight="true" ht="17.857142857142858" r="1">
      <c r="A1" s="346" t="s">
        <v>2059</v>
      </c>
      <c r="B1" s="346"/>
      <c r="C1" s="346"/>
      <c r="D1" s="346"/>
      <c r="E1" s="346"/>
      <c r="F1" s="346"/>
      <c r="G1" s="346"/>
      <c r="H1" s="346"/>
      <c r="I1" s="346"/>
    </row>
    <row customHeight="true" ht="14.285714285714286" r="2">
      <c r="A2" s="347" t="s">
        <v>2060</v>
      </c>
      <c r="B2" s="347"/>
      <c r="C2" s="347"/>
      <c r="D2" s="347"/>
      <c r="E2" s="347"/>
      <c r="F2" s="347"/>
      <c r="G2" s="347"/>
      <c r="H2" s="347"/>
      <c r="I2" s="347"/>
    </row>
    <row customHeight="true" ht="15.476190476190476" r="3">
      <c r="A3" s="348" t="s">
        <v>2061</v>
      </c>
      <c r="B3" s="348"/>
      <c r="C3" s="348"/>
      <c r="D3" s="348"/>
      <c r="E3" s="348"/>
      <c r="F3" s="348"/>
      <c r="G3" s="348"/>
      <c r="H3" s="348"/>
      <c r="I3" s="348"/>
    </row>
    <row customHeight="true" ht="15.476190476190476" r="4">
      <c r="A4" s="349" t="s">
        <v>2062</v>
      </c>
      <c r="B4" s="349" t="s">
        <v>2063</v>
      </c>
      <c r="C4" s="349" t="s">
        <v>2064</v>
      </c>
      <c r="D4" s="349" t="s">
        <v>2065</v>
      </c>
      <c r="E4" s="349" t="s">
        <v>2065</v>
      </c>
      <c r="F4" s="349" t="s">
        <v>2065</v>
      </c>
      <c r="G4" s="349" t="s">
        <v>2065</v>
      </c>
      <c r="H4" s="349" t="s">
        <v>2065</v>
      </c>
      <c r="I4" s="349" t="s">
        <v>2065</v>
      </c>
    </row>
    <row r="5">
      <c r="A5" s="350" t="s">
        <v>2066</v>
      </c>
      <c r="B5" s="350" t="s">
        <v>2067</v>
      </c>
      <c r="C5" s="350" t="s">
        <v>2068</v>
      </c>
      <c r="D5" s="350" t="s">
        <v>2065</v>
      </c>
      <c r="E5" s="350" t="s">
        <v>2065</v>
      </c>
      <c r="F5" s="350" t="s">
        <v>2065</v>
      </c>
      <c r="G5" s="350" t="s">
        <v>2065</v>
      </c>
      <c r="H5" s="350" t="s">
        <v>2065</v>
      </c>
      <c r="I5" s="350" t="s">
        <v>2065</v>
      </c>
    </row>
    <row r="6">
      <c r="A6" s="350" t="s">
        <v>2069</v>
      </c>
      <c r="B6" s="351">
        <v>4800</v>
      </c>
      <c r="C6" s="350" t="s">
        <v>2070</v>
      </c>
      <c r="D6" s="350" t="s">
        <v>2065</v>
      </c>
      <c r="E6" s="350" t="s">
        <v>2065</v>
      </c>
      <c r="F6" s="350" t="s">
        <v>2065</v>
      </c>
      <c r="G6" s="350" t="s">
        <v>2065</v>
      </c>
      <c r="H6" s="350" t="s">
        <v>2065</v>
      </c>
      <c r="I6" s="350" t="s">
        <v>2065</v>
      </c>
    </row>
    <row r="7">
      <c r="A7" s="350" t="s">
        <v>2071</v>
      </c>
      <c r="B7" s="350" t="s">
        <v>2072</v>
      </c>
      <c r="C7" s="350" t="s">
        <v>2073</v>
      </c>
      <c r="D7" s="350" t="s">
        <v>2065</v>
      </c>
      <c r="E7" s="350" t="s">
        <v>2065</v>
      </c>
      <c r="F7" s="350" t="s">
        <v>2065</v>
      </c>
      <c r="G7" s="350" t="s">
        <v>2065</v>
      </c>
      <c r="H7" s="350" t="s">
        <v>2065</v>
      </c>
      <c r="I7" s="350" t="s">
        <v>2065</v>
      </c>
    </row>
    <row r="8">
      <c r="A8" s="350" t="s">
        <v>2074</v>
      </c>
      <c r="B8" s="352">
        <v>0.062</v>
      </c>
      <c r="C8" s="350" t="s">
        <v>2075</v>
      </c>
      <c r="D8" s="350" t="s">
        <v>2065</v>
      </c>
      <c r="E8" s="350" t="s">
        <v>2065</v>
      </c>
      <c r="F8" s="350" t="s">
        <v>2065</v>
      </c>
      <c r="G8" s="350" t="s">
        <v>2065</v>
      </c>
      <c r="H8" s="350" t="s">
        <v>2065</v>
      </c>
      <c r="I8" s="350" t="s">
        <v>2065</v>
      </c>
    </row>
    <row r="9">
      <c r="A9" s="350" t="s">
        <v>2076</v>
      </c>
      <c r="B9" s="352">
        <v>0.15</v>
      </c>
      <c r="C9" s="350" t="s">
        <v>2077</v>
      </c>
      <c r="D9" s="350" t="s">
        <v>2065</v>
      </c>
      <c r="E9" s="350" t="s">
        <v>2065</v>
      </c>
      <c r="F9" s="350" t="s">
        <v>2065</v>
      </c>
      <c r="G9" s="350" t="s">
        <v>2065</v>
      </c>
      <c r="H9" s="350" t="s">
        <v>2065</v>
      </c>
      <c r="I9" s="350" t="s">
        <v>2065</v>
      </c>
    </row>
    <row customHeight="true" ht="15.476190476190476" r="10">
      <c r="A10" s="353" t="s">
        <v>2078</v>
      </c>
      <c r="B10" s="353"/>
      <c r="C10" s="353"/>
      <c r="D10" s="353"/>
      <c r="E10" s="353"/>
      <c r="F10" s="353"/>
      <c r="G10" s="353"/>
      <c r="H10" s="353"/>
      <c r="I10" s="353"/>
    </row>
    <row customHeight="true" ht="15.476190476190476" r="11">
      <c r="A11" s="354" t="s">
        <v>2079</v>
      </c>
      <c r="B11" s="354" t="s">
        <v>2080</v>
      </c>
      <c r="C11" s="354" t="s">
        <v>2081</v>
      </c>
      <c r="D11" s="354" t="s">
        <v>2082</v>
      </c>
      <c r="E11" s="354" t="s">
        <v>2083</v>
      </c>
      <c r="F11" s="354" t="s">
        <v>2084</v>
      </c>
      <c r="G11" s="354" t="s">
        <v>2085</v>
      </c>
      <c r="H11" s="354" t="s">
        <v>2086</v>
      </c>
      <c r="I11" s="354" t="s">
        <v>2087</v>
      </c>
    </row>
    <row r="12">
      <c r="A12" s="350" t="s">
        <v>2088</v>
      </c>
      <c r="B12" s="350" t="s">
        <v>2089</v>
      </c>
      <c r="C12" s="350" t="s">
        <v>2090</v>
      </c>
      <c r="D12" s="351">
        <v>92400</v>
      </c>
      <c r="E12" s="350">
        <v>42</v>
      </c>
      <c r="F12" s="355">
        <v>0.241</v>
      </c>
      <c r="G12" s="352">
        <v>0.789</v>
      </c>
      <c r="H12" s="352">
        <v>0.769</v>
      </c>
      <c r="I12" s="350" t="s">
        <v>2091</v>
      </c>
    </row>
    <row r="13">
      <c r="A13" s="350" t="s">
        <v>2092</v>
      </c>
      <c r="B13" s="350" t="s">
        <v>2093</v>
      </c>
      <c r="C13" s="350" t="s">
        <v>2094</v>
      </c>
      <c r="D13" s="351">
        <v>54798</v>
      </c>
      <c r="E13" s="350">
        <v>42</v>
      </c>
      <c r="F13" s="355">
        <v>0.1836</v>
      </c>
      <c r="G13" s="352">
        <v>0.85</v>
      </c>
      <c r="H13" s="352">
        <v>0.833</v>
      </c>
      <c r="I13" s="350" t="s">
        <v>2095</v>
      </c>
    </row>
    <row r="14">
      <c r="A14" s="350" t="s">
        <v>2096</v>
      </c>
      <c r="B14" s="350" t="s">
        <v>2097</v>
      </c>
      <c r="C14" s="350" t="s">
        <v>2098</v>
      </c>
      <c r="D14" s="351">
        <v>66300</v>
      </c>
      <c r="E14" s="350">
        <v>42</v>
      </c>
      <c r="F14" s="355">
        <v>0.1521</v>
      </c>
      <c r="G14" s="352">
        <v>0.883</v>
      </c>
      <c r="H14" s="352">
        <v>0.87</v>
      </c>
      <c r="I14" s="350" t="s">
        <v>2099</v>
      </c>
    </row>
    <row r="15">
      <c r="A15" s="350" t="s">
        <v>2100</v>
      </c>
      <c r="B15" s="350" t="s">
        <v>2101</v>
      </c>
      <c r="C15" s="350" t="s">
        <v>2102</v>
      </c>
      <c r="D15" s="351">
        <v>66300</v>
      </c>
      <c r="E15" s="350">
        <v>42</v>
      </c>
      <c r="F15" s="355">
        <v>0.1287</v>
      </c>
      <c r="G15" s="352">
        <v>0.947</v>
      </c>
      <c r="H15" s="352">
        <v>0.972</v>
      </c>
      <c r="I15" s="350" t="s">
        <v>2103</v>
      </c>
    </row>
    <row r="16">
      <c r="A16" s="350" t="s">
        <v>2104</v>
      </c>
      <c r="B16" s="350" t="s">
        <v>2101</v>
      </c>
      <c r="C16" s="350" t="s">
        <v>2105</v>
      </c>
      <c r="D16" s="351">
        <v>66300</v>
      </c>
      <c r="E16" s="350">
        <v>7</v>
      </c>
      <c r="F16" s="355">
        <v>0.139</v>
      </c>
      <c r="G16" s="352">
        <v>0.938</v>
      </c>
      <c r="H16" s="352">
        <v>0.961</v>
      </c>
      <c r="I16" s="350" t="s">
        <v>2106</v>
      </c>
    </row>
    <row r="17">
      <c r="A17" s="350" t="s">
        <v>2107</v>
      </c>
      <c r="B17" s="350" t="s">
        <v>2101</v>
      </c>
      <c r="C17" s="350" t="s">
        <v>2105</v>
      </c>
      <c r="D17" s="351">
        <v>66300</v>
      </c>
      <c r="E17" s="350">
        <v>99</v>
      </c>
      <c r="F17" s="355">
        <v>0.1163</v>
      </c>
      <c r="G17" s="352">
        <v>0.952</v>
      </c>
      <c r="H17" s="352">
        <v>0.976</v>
      </c>
      <c r="I17" s="350" t="s">
        <v>2106</v>
      </c>
    </row>
    <row r="18">
      <c r="A18" s="350" t="s">
        <v>2108</v>
      </c>
      <c r="B18" s="350" t="s">
        <v>2109</v>
      </c>
      <c r="C18" s="350" t="s">
        <v>2110</v>
      </c>
      <c r="D18" s="351">
        <v>66300</v>
      </c>
      <c r="E18" s="350">
        <v>42</v>
      </c>
      <c r="F18" s="355">
        <v>0.1495</v>
      </c>
      <c r="G18" s="352">
        <v>0.9</v>
      </c>
      <c r="H18" s="352">
        <v>0.917</v>
      </c>
      <c r="I18" s="350" t="s">
        <v>2111</v>
      </c>
    </row>
    <row r="19">
      <c r="A19" s="350" t="s">
        <v>2112</v>
      </c>
      <c r="B19" s="350" t="s">
        <v>2109</v>
      </c>
      <c r="C19" s="350" t="s">
        <v>2113</v>
      </c>
      <c r="D19" s="351">
        <v>54798</v>
      </c>
      <c r="E19" s="350">
        <v>42</v>
      </c>
      <c r="F19" s="355">
        <v>0.2012</v>
      </c>
      <c r="G19" s="352">
        <v>0.863</v>
      </c>
      <c r="H19" s="352">
        <v>0.852</v>
      </c>
      <c r="I19" s="350" t="s">
        <v>2114</v>
      </c>
    </row>
    <row r="20">
      <c r="A20" s="350" t="s">
        <v>2115</v>
      </c>
      <c r="B20" s="350" t="s">
        <v>2116</v>
      </c>
      <c r="C20" s="350" t="s">
        <v>2117</v>
      </c>
      <c r="D20" s="351">
        <v>66300</v>
      </c>
      <c r="E20" s="350">
        <v>42</v>
      </c>
      <c r="F20" s="355">
        <v>0.1733</v>
      </c>
      <c r="G20" s="352">
        <v>0.907</v>
      </c>
      <c r="H20" s="352">
        <v>0.917</v>
      </c>
      <c r="I20" s="350" t="s">
        <v>2118</v>
      </c>
    </row>
    <row r="21">
      <c r="A21" s="350" t="s">
        <v>2119</v>
      </c>
      <c r="B21" s="350" t="s">
        <v>2120</v>
      </c>
      <c r="C21" s="350" t="s">
        <v>2121</v>
      </c>
      <c r="D21" s="351">
        <v>66300</v>
      </c>
      <c r="E21" s="350">
        <v>42</v>
      </c>
      <c r="F21" s="355">
        <v>0.1216</v>
      </c>
      <c r="G21" s="352">
        <v>0.953</v>
      </c>
      <c r="H21" s="352">
        <v>0.977</v>
      </c>
      <c r="I21" s="350" t="s">
        <v>2122</v>
      </c>
    </row>
    <row r="22">
      <c r="A22" s="350" t="s">
        <v>2123</v>
      </c>
      <c r="B22" s="350" t="s">
        <v>2124</v>
      </c>
      <c r="C22" s="350" t="s">
        <v>2125</v>
      </c>
      <c r="D22" s="351">
        <v>454798</v>
      </c>
      <c r="E22" s="350">
        <v>42</v>
      </c>
      <c r="F22" s="355">
        <v>0.1042</v>
      </c>
      <c r="G22" s="352">
        <v>0.958</v>
      </c>
      <c r="H22" s="352">
        <v>0.983</v>
      </c>
      <c r="I22" s="350" t="s">
        <v>2126</v>
      </c>
    </row>
    <row r="23">
      <c r="A23" s="350" t="s">
        <v>2127</v>
      </c>
      <c r="B23" s="350" t="s">
        <v>2128</v>
      </c>
      <c r="C23" s="350" t="s">
        <v>2129</v>
      </c>
      <c r="D23" s="351">
        <v>454798</v>
      </c>
      <c r="E23" s="350">
        <v>42</v>
      </c>
      <c r="F23" s="355">
        <v>0.1105</v>
      </c>
      <c r="G23" s="352">
        <v>0.951</v>
      </c>
      <c r="H23" s="352">
        <v>0.969</v>
      </c>
      <c r="I23" s="350" t="s">
        <v>2130</v>
      </c>
    </row>
    <row r="24">
      <c r="A24" s="350" t="s">
        <v>2131</v>
      </c>
      <c r="B24" s="356">
        <f>COUNTA(A12:A23)</f>
      </c>
      <c r="C24" s="350" t="s">
        <v>2132</v>
      </c>
      <c r="D24" s="355">
        <f>MIN(F12:F23)</f>
      </c>
      <c r="E24" s="350" t="s">
        <v>2133</v>
      </c>
      <c r="F24" s="350" t="s">
        <v>2134</v>
      </c>
      <c r="G24" s="350" t="s">
        <v>2135</v>
      </c>
      <c r="H24" s="350" t="s">
        <v>2100</v>
      </c>
      <c r="I24" s="350" t="s">
        <v>2136</v>
      </c>
    </row>
    <row customHeight="true" ht="15.476190476190476" r="25">
      <c r="A25" s="353" t="s">
        <v>2137</v>
      </c>
      <c r="B25" s="353"/>
      <c r="C25" s="353"/>
      <c r="D25" s="353"/>
      <c r="E25" s="353"/>
      <c r="F25" s="353"/>
      <c r="G25" s="353"/>
      <c r="H25" s="353"/>
      <c r="I25" s="353"/>
    </row>
    <row customHeight="true" ht="15.476190476190476" r="26">
      <c r="A26" s="354" t="s">
        <v>2138</v>
      </c>
      <c r="B26" s="354" t="s">
        <v>2139</v>
      </c>
      <c r="C26" s="354" t="s">
        <v>2140</v>
      </c>
      <c r="D26" s="354" t="s">
        <v>2064</v>
      </c>
      <c r="E26" s="354" t="s">
        <v>2065</v>
      </c>
      <c r="F26" s="354" t="s">
        <v>2065</v>
      </c>
      <c r="G26" s="354" t="s">
        <v>2065</v>
      </c>
      <c r="H26" s="354" t="s">
        <v>2065</v>
      </c>
      <c r="I26" s="354" t="s">
        <v>2065</v>
      </c>
    </row>
    <row r="27">
      <c r="A27" s="350" t="s">
        <v>2141</v>
      </c>
      <c r="B27" s="351">
        <v>92400</v>
      </c>
      <c r="C27" s="352">
        <v>0.505</v>
      </c>
      <c r="D27" s="350" t="s">
        <v>2142</v>
      </c>
      <c r="E27" s="350" t="s">
        <v>2065</v>
      </c>
      <c r="F27" s="350" t="s">
        <v>2065</v>
      </c>
      <c r="G27" s="350" t="s">
        <v>2065</v>
      </c>
      <c r="H27" s="350" t="s">
        <v>2065</v>
      </c>
      <c r="I27" s="350" t="s">
        <v>2065</v>
      </c>
    </row>
    <row r="28">
      <c r="A28" s="350" t="s">
        <v>2143</v>
      </c>
      <c r="B28" s="351">
        <v>54798</v>
      </c>
      <c r="C28" s="352">
        <v>0.3</v>
      </c>
      <c r="D28" s="350" t="s">
        <v>2144</v>
      </c>
      <c r="E28" s="350" t="s">
        <v>2065</v>
      </c>
      <c r="F28" s="350" t="s">
        <v>2065</v>
      </c>
      <c r="G28" s="350" t="s">
        <v>2065</v>
      </c>
      <c r="H28" s="350" t="s">
        <v>2065</v>
      </c>
      <c r="I28" s="350" t="s">
        <v>2065</v>
      </c>
    </row>
    <row r="29">
      <c r="A29" s="350" t="s">
        <v>2145</v>
      </c>
      <c r="B29" s="351">
        <v>11502</v>
      </c>
      <c r="C29" s="352">
        <v>0.063</v>
      </c>
      <c r="D29" s="350" t="s">
        <v>2146</v>
      </c>
      <c r="E29" s="350" t="s">
        <v>2065</v>
      </c>
      <c r="F29" s="350" t="s">
        <v>2065</v>
      </c>
      <c r="G29" s="350" t="s">
        <v>2065</v>
      </c>
      <c r="H29" s="350" t="s">
        <v>2065</v>
      </c>
      <c r="I29" s="350" t="s">
        <v>2065</v>
      </c>
    </row>
    <row r="30">
      <c r="A30" s="350" t="s">
        <v>2147</v>
      </c>
      <c r="B30" s="351">
        <v>24200</v>
      </c>
      <c r="C30" s="352">
        <v>0.132</v>
      </c>
      <c r="D30" s="350" t="s">
        <v>2148</v>
      </c>
      <c r="E30" s="350" t="s">
        <v>2065</v>
      </c>
      <c r="F30" s="350" t="s">
        <v>2065</v>
      </c>
      <c r="G30" s="350" t="s">
        <v>2065</v>
      </c>
      <c r="H30" s="350" t="s">
        <v>2065</v>
      </c>
      <c r="I30" s="350" t="s">
        <v>2065</v>
      </c>
    </row>
    <row r="31">
      <c r="A31" s="350" t="s">
        <v>2149</v>
      </c>
      <c r="B31" s="351">
        <f>SUM(B27:B30)</f>
      </c>
      <c r="C31" s="352">
        <f>ROUND(SUM(B27:B30)/SUM(B27:B30),3)</f>
      </c>
      <c r="D31" s="350" t="s">
        <v>2150</v>
      </c>
      <c r="E31" s="350" t="s">
        <v>2065</v>
      </c>
      <c r="F31" s="350" t="s">
        <v>2065</v>
      </c>
      <c r="G31" s="350" t="s">
        <v>2065</v>
      </c>
      <c r="H31" s="350" t="s">
        <v>2065</v>
      </c>
      <c r="I31" s="350" t="s">
        <v>2065</v>
      </c>
    </row>
    <row r="32">
      <c r="A32" s="350" t="s">
        <v>2151</v>
      </c>
      <c r="B32" s="350" t="s">
        <v>2152</v>
      </c>
      <c r="C32" s="350" t="s">
        <v>2153</v>
      </c>
      <c r="D32" s="350" t="s">
        <v>2136</v>
      </c>
      <c r="E32" s="350" t="s">
        <v>2065</v>
      </c>
      <c r="F32" s="350" t="s">
        <v>2065</v>
      </c>
      <c r="G32" s="350" t="s">
        <v>2065</v>
      </c>
      <c r="H32" s="350" t="s">
        <v>2065</v>
      </c>
      <c r="I32" s="350" t="s">
        <v>2065</v>
      </c>
    </row>
  </sheetData>
  <mergeCells>
    <mergeCell ref="A1:I1"/>
    <mergeCell ref="A2:I2"/>
    <mergeCell ref="A3:I3"/>
    <mergeCell ref="A10:I10"/>
    <mergeCell ref="A25:I25"/>
  </mergeCells>
  <drawing r:id="rId1"/>
</worksheet>
</file>

<file path=xl/worksheets/sheet2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3" ySplit="2"/>
    </sheetView>
  </sheetViews>
  <sheetFormatPr defaultRowHeight="0"/>
  <cols>
    <col collapsed="false" customWidth="true" hidden="false" max="2" min="2" style="0" width="9.52112676056338"/>
    <col collapsed="false" customWidth="true" hidden="false" max="3" min="3" style="0" width="9.52112676056338"/>
    <col collapsed="false" customWidth="true" hidden="false" max="4" min="4" style="0" width="9.52112676056338"/>
    <col collapsed="false" customWidth="true" hidden="false" max="5" min="5" style="0" width="10.647887323943662"/>
    <col collapsed="false" customWidth="true" hidden="false" max="6" min="6" style="0" width="11.774647887323944"/>
    <col collapsed="false" customWidth="true" hidden="false" max="7" min="7" style="0" width="28.676056338028168"/>
    <col collapsed="false" customWidth="true" hidden="false" max="1" min="1" style="0" width="30.929577464788732"/>
  </cols>
  <sheetData>
    <row customHeight="true" ht="17.857142857142858" r="1">
      <c r="A1" s="357" t="s">
        <v>2154</v>
      </c>
      <c r="B1" s="357"/>
      <c r="C1" s="357"/>
      <c r="D1" s="357"/>
      <c r="E1" s="357"/>
      <c r="F1" s="357"/>
      <c r="G1" s="357"/>
    </row>
    <row customHeight="true" ht="14.285714285714286" r="2">
      <c r="A2" s="358" t="s">
        <v>2155</v>
      </c>
      <c r="B2" s="358"/>
      <c r="C2" s="358"/>
      <c r="D2" s="358"/>
      <c r="E2" s="358"/>
      <c r="F2" s="358"/>
      <c r="G2" s="358"/>
    </row>
    <row customHeight="true" ht="15.476190476190476" r="3">
      <c r="A3" s="359" t="s">
        <v>2156</v>
      </c>
      <c r="B3" s="359"/>
      <c r="C3" s="359"/>
      <c r="D3" s="359"/>
      <c r="E3" s="359"/>
      <c r="F3" s="359"/>
      <c r="G3" s="359"/>
    </row>
    <row customHeight="true" ht="15.476190476190476" r="4">
      <c r="A4" s="360" t="s">
        <v>2157</v>
      </c>
      <c r="B4" s="360" t="s">
        <v>2158</v>
      </c>
      <c r="C4" s="360" t="s">
        <v>2159</v>
      </c>
      <c r="D4" s="360" t="s">
        <v>2160</v>
      </c>
      <c r="E4" s="360" t="s">
        <v>2161</v>
      </c>
      <c r="F4" s="360" t="s">
        <v>2162</v>
      </c>
      <c r="G4" s="360" t="s">
        <v>2163</v>
      </c>
    </row>
    <row r="5">
      <c r="A5" s="361" t="s">
        <v>2164</v>
      </c>
      <c r="B5" s="362">
        <v>1</v>
      </c>
      <c r="C5" s="362">
        <v>0.967</v>
      </c>
      <c r="D5" s="362">
        <v>0.9</v>
      </c>
      <c r="E5" s="361">
        <v>180</v>
      </c>
      <c r="F5" s="362">
        <f t="shared" ref="F5:F9" si="0">ROUND(AVERAGE(B5:D5),3)</f>
      </c>
      <c r="G5" s="361" t="s">
        <v>2165</v>
      </c>
    </row>
    <row r="6">
      <c r="A6" s="361" t="s">
        <v>2166</v>
      </c>
      <c r="B6" s="362">
        <v>0.967</v>
      </c>
      <c r="C6" s="362">
        <v>0.9</v>
      </c>
      <c r="D6" s="362">
        <v>0.783</v>
      </c>
      <c r="E6" s="361">
        <v>180</v>
      </c>
      <c r="F6" s="362">
        <f t="shared" si="0"/>
      </c>
      <c r="G6" s="361" t="s">
        <v>2167</v>
      </c>
    </row>
    <row r="7">
      <c r="A7" s="361" t="s">
        <v>2168</v>
      </c>
      <c r="B7" s="362">
        <v>0.917</v>
      </c>
      <c r="C7" s="362">
        <v>0.817</v>
      </c>
      <c r="D7" s="362">
        <v>0.633</v>
      </c>
      <c r="E7" s="361">
        <v>180</v>
      </c>
      <c r="F7" s="362">
        <f t="shared" si="0"/>
      </c>
      <c r="G7" s="361" t="s">
        <v>2169</v>
      </c>
    </row>
    <row r="8">
      <c r="A8" s="361" t="s">
        <v>2170</v>
      </c>
      <c r="B8" s="362">
        <v>0.833</v>
      </c>
      <c r="C8" s="362">
        <v>0.717</v>
      </c>
      <c r="D8" s="362">
        <v>0.583</v>
      </c>
      <c r="E8" s="361">
        <v>180</v>
      </c>
      <c r="F8" s="362">
        <f t="shared" si="0"/>
      </c>
      <c r="G8" s="361" t="s">
        <v>2171</v>
      </c>
    </row>
    <row r="9">
      <c r="A9" s="361" t="s">
        <v>2172</v>
      </c>
      <c r="B9" s="362">
        <v>0.967</v>
      </c>
      <c r="C9" s="362">
        <v>0.917</v>
      </c>
      <c r="D9" s="362">
        <v>0.85</v>
      </c>
      <c r="E9" s="361">
        <v>180</v>
      </c>
      <c r="F9" s="362">
        <f t="shared" si="0"/>
      </c>
      <c r="G9" s="361" t="s">
        <v>2173</v>
      </c>
    </row>
    <row r="10">
      <c r="A10" s="361" t="s">
        <v>2174</v>
      </c>
      <c r="B10" s="361">
        <f>ROUND(AVERAGE(B5:B9),3)</f>
      </c>
      <c r="C10" s="361">
        <f>ROUND(AVERAGE(C5:C9),3)</f>
      </c>
      <c r="D10" s="361">
        <f>ROUND(AVERAGE(D5:D9),3)</f>
      </c>
      <c r="E10" s="361">
        <f>SUM(E5:E9)</f>
      </c>
      <c r="F10" s="362">
        <f>ROUND(AVERAGE(F5:F9),3)</f>
      </c>
      <c r="G10" s="361" t="s">
        <v>2175</v>
      </c>
    </row>
    <row customHeight="true" ht="15.476190476190476" r="11">
      <c r="A11" s="363" t="s">
        <v>2176</v>
      </c>
      <c r="B11" s="363"/>
      <c r="C11" s="363"/>
      <c r="D11" s="363"/>
      <c r="E11" s="363"/>
      <c r="F11" s="363"/>
      <c r="G11" s="363"/>
    </row>
    <row customHeight="true" ht="15.476190476190476" r="12">
      <c r="A12" s="364" t="s">
        <v>2177</v>
      </c>
      <c r="B12" s="364" t="s">
        <v>2178</v>
      </c>
      <c r="C12" s="364" t="s">
        <v>2179</v>
      </c>
      <c r="D12" s="364" t="s">
        <v>2180</v>
      </c>
      <c r="E12" s="364" t="s">
        <v>2181</v>
      </c>
      <c r="F12" s="364" t="s">
        <v>2182</v>
      </c>
      <c r="G12" s="364" t="s">
        <v>2182</v>
      </c>
    </row>
    <row r="13">
      <c r="A13" s="361" t="s">
        <v>2183</v>
      </c>
      <c r="B13" s="365">
        <v>1.9</v>
      </c>
      <c r="C13" s="362">
        <v>0.912</v>
      </c>
      <c r="D13" s="362">
        <v>0.894</v>
      </c>
      <c r="E13" s="361" t="s">
        <v>2184</v>
      </c>
      <c r="F13" s="361" t="s">
        <v>2182</v>
      </c>
      <c r="G13" s="361" t="s">
        <v>2182</v>
      </c>
    </row>
    <row r="14">
      <c r="A14" s="361" t="s">
        <v>2185</v>
      </c>
      <c r="B14" s="365">
        <v>2.4</v>
      </c>
      <c r="C14" s="362">
        <v>0.93</v>
      </c>
      <c r="D14" s="362">
        <v>0.923</v>
      </c>
      <c r="E14" s="361" t="s">
        <v>2186</v>
      </c>
      <c r="F14" s="361" t="s">
        <v>2182</v>
      </c>
      <c r="G14" s="361" t="s">
        <v>2182</v>
      </c>
    </row>
    <row r="15">
      <c r="A15" s="361" t="s">
        <v>2187</v>
      </c>
      <c r="B15" s="365">
        <v>1.83</v>
      </c>
      <c r="C15" s="362">
        <v>0.947</v>
      </c>
      <c r="D15" s="362">
        <v>0.972</v>
      </c>
      <c r="E15" s="361" t="s">
        <v>2188</v>
      </c>
      <c r="F15" s="361" t="s">
        <v>2182</v>
      </c>
      <c r="G15" s="361" t="s">
        <v>2182</v>
      </c>
    </row>
    <row r="16">
      <c r="A16" s="361" t="s">
        <v>2189</v>
      </c>
      <c r="B16" s="365">
        <v>2.6</v>
      </c>
      <c r="C16" s="362">
        <v>0.958</v>
      </c>
      <c r="D16" s="362">
        <v>0.983</v>
      </c>
      <c r="E16" s="361" t="s">
        <v>2190</v>
      </c>
      <c r="F16" s="361" t="s">
        <v>2182</v>
      </c>
      <c r="G16" s="361" t="s">
        <v>2182</v>
      </c>
    </row>
    <row customHeight="true" ht="15.476190476190476" r="17">
      <c r="A17" s="363" t="s">
        <v>2191</v>
      </c>
      <c r="B17" s="363"/>
      <c r="C17" s="363"/>
      <c r="D17" s="363"/>
      <c r="E17" s="363"/>
      <c r="F17" s="363"/>
      <c r="G17" s="363"/>
    </row>
    <row customHeight="true" ht="15.476190476190476" r="18">
      <c r="A18" s="364" t="s">
        <v>2192</v>
      </c>
      <c r="B18" s="364" t="s">
        <v>2193</v>
      </c>
      <c r="C18" s="364" t="s">
        <v>2194</v>
      </c>
      <c r="D18" s="364" t="s">
        <v>2181</v>
      </c>
      <c r="E18" s="364" t="s">
        <v>2182</v>
      </c>
      <c r="F18" s="364" t="s">
        <v>2182</v>
      </c>
      <c r="G18" s="364" t="s">
        <v>2182</v>
      </c>
    </row>
    <row r="19">
      <c r="A19" s="361" t="s">
        <v>2195</v>
      </c>
      <c r="B19" s="361" t="s">
        <v>2196</v>
      </c>
      <c r="C19" s="362">
        <v>0.875</v>
      </c>
      <c r="D19" s="361" t="s">
        <v>2197</v>
      </c>
      <c r="E19" s="361" t="s">
        <v>2182</v>
      </c>
      <c r="F19" s="361" t="s">
        <v>2182</v>
      </c>
      <c r="G19" s="361" t="s">
        <v>2182</v>
      </c>
    </row>
    <row r="20">
      <c r="A20" s="361" t="s">
        <v>2198</v>
      </c>
      <c r="B20" s="361" t="s">
        <v>2199</v>
      </c>
      <c r="C20" s="362">
        <v>0.85</v>
      </c>
      <c r="D20" s="361" t="s">
        <v>2197</v>
      </c>
      <c r="E20" s="361" t="s">
        <v>2182</v>
      </c>
      <c r="F20" s="361" t="s">
        <v>2182</v>
      </c>
      <c r="G20" s="361" t="s">
        <v>2182</v>
      </c>
    </row>
    <row r="21">
      <c r="A21" s="361" t="s">
        <v>2200</v>
      </c>
      <c r="B21" s="361" t="s">
        <v>2201</v>
      </c>
      <c r="C21" s="362">
        <v>0.825</v>
      </c>
      <c r="D21" s="361" t="s">
        <v>2197</v>
      </c>
      <c r="E21" s="361" t="s">
        <v>2182</v>
      </c>
      <c r="F21" s="361" t="s">
        <v>2182</v>
      </c>
      <c r="G21" s="361" t="s">
        <v>2182</v>
      </c>
    </row>
    <row r="22">
      <c r="A22" s="361" t="s">
        <v>2202</v>
      </c>
      <c r="B22" s="361" t="s">
        <v>2203</v>
      </c>
      <c r="C22" s="362">
        <v>0.85</v>
      </c>
      <c r="D22" s="361" t="s">
        <v>2204</v>
      </c>
      <c r="E22" s="361" t="s">
        <v>2182</v>
      </c>
      <c r="F22" s="361" t="s">
        <v>2182</v>
      </c>
      <c r="G22" s="361" t="s">
        <v>2182</v>
      </c>
    </row>
    <row customHeight="true" ht="15.476190476190476" r="23">
      <c r="A23" s="363" t="s">
        <v>2205</v>
      </c>
      <c r="B23" s="363"/>
      <c r="C23" s="363"/>
      <c r="D23" s="363"/>
      <c r="E23" s="363"/>
      <c r="F23" s="363"/>
      <c r="G23" s="363"/>
    </row>
    <row customHeight="true" ht="15.476190476190476" r="24">
      <c r="A24" s="364" t="s">
        <v>2206</v>
      </c>
      <c r="B24" s="364" t="s">
        <v>2207</v>
      </c>
      <c r="C24" s="364" t="s">
        <v>2208</v>
      </c>
      <c r="D24" s="364" t="s">
        <v>2209</v>
      </c>
      <c r="E24" s="364" t="s">
        <v>2182</v>
      </c>
      <c r="F24" s="364" t="s">
        <v>2182</v>
      </c>
      <c r="G24" s="364" t="s">
        <v>2182</v>
      </c>
    </row>
    <row r="25">
      <c r="A25" s="361" t="s">
        <v>2180</v>
      </c>
      <c r="B25" s="362">
        <v>0.852</v>
      </c>
      <c r="C25" s="362">
        <v>0.972</v>
      </c>
      <c r="D25" s="362">
        <v>0.983</v>
      </c>
      <c r="E25" s="361" t="s">
        <v>2182</v>
      </c>
      <c r="F25" s="361" t="s">
        <v>2182</v>
      </c>
      <c r="G25" s="361" t="s">
        <v>2182</v>
      </c>
    </row>
    <row r="26">
      <c r="A26" s="361" t="s">
        <v>2210</v>
      </c>
      <c r="B26" s="365">
        <v>4.2</v>
      </c>
      <c r="C26" s="365">
        <v>4.63</v>
      </c>
      <c r="D26" s="365">
        <v>5.1</v>
      </c>
      <c r="E26" s="361" t="s">
        <v>2182</v>
      </c>
      <c r="F26" s="361" t="s">
        <v>2182</v>
      </c>
      <c r="G26" s="361" t="s">
        <v>2182</v>
      </c>
    </row>
    <row r="27">
      <c r="A27" s="361" t="s">
        <v>2178</v>
      </c>
      <c r="B27" s="365">
        <v>1.42</v>
      </c>
      <c r="C27" s="365">
        <v>1.83</v>
      </c>
      <c r="D27" s="365">
        <v>2.6</v>
      </c>
      <c r="E27" s="361" t="s">
        <v>2182</v>
      </c>
      <c r="F27" s="361" t="s">
        <v>2182</v>
      </c>
      <c r="G27" s="361" t="s">
        <v>2182</v>
      </c>
    </row>
    <row r="28">
      <c r="A28" s="361" t="s">
        <v>2211</v>
      </c>
      <c r="B28" s="362">
        <v>0.031</v>
      </c>
      <c r="C28" s="362">
        <v>0.034</v>
      </c>
      <c r="D28" s="362">
        <v>0.039</v>
      </c>
      <c r="E28" s="361" t="s">
        <v>2182</v>
      </c>
      <c r="F28" s="361" t="s">
        <v>2182</v>
      </c>
      <c r="G28" s="361" t="s">
        <v>2182</v>
      </c>
    </row>
  </sheetData>
  <mergeCells>
    <mergeCell ref="A1:G1"/>
    <mergeCell ref="A2:G2"/>
    <mergeCell ref="A3:G3"/>
    <mergeCell ref="A11:G11"/>
    <mergeCell ref="A17:G17"/>
    <mergeCell ref="A23:G23"/>
  </mergeCell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{"Label":"1","ContentProducer":"001191110102MACQD9K64010000","ProduceID":"7688392933548789002","ReservedCode1":"","ContentPropagator":"","PropagateID":"","ReservedCode2":""}</vt:lpwstr>
  </property>
</Properties>
</file>